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Configurações" sheetId="2" state="visible" r:id="rId2"/>
    <sheet xmlns:r="http://schemas.openxmlformats.org/officeDocument/2006/relationships" name="Importar Reservas" sheetId="3" state="visible" r:id="rId3"/>
    <sheet xmlns:r="http://schemas.openxmlformats.org/officeDocument/2006/relationships" name="Comissões" sheetId="4" state="visible" r:id="rId4"/>
    <sheet xmlns:r="http://schemas.openxmlformats.org/officeDocument/2006/relationships" name="Custos Fixos" sheetId="5" state="visible" r:id="rId5"/>
    <sheet xmlns:r="http://schemas.openxmlformats.org/officeDocument/2006/relationships" name="Gastos Adicionais" sheetId="6" state="visible" r:id="rId6"/>
    <sheet xmlns:r="http://schemas.openxmlformats.org/officeDocument/2006/relationships" name="Fluxo de Caixa" sheetId="7" state="visible" r:id="rId7"/>
    <sheet xmlns:r="http://schemas.openxmlformats.org/officeDocument/2006/relationships" name="Contas a Receber" sheetId="8" state="visible" r:id="rId8"/>
    <sheet xmlns:r="http://schemas.openxmlformats.org/officeDocument/2006/relationships" name="Rendimentos e Lucro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Importar Registos" sheetId="11" state="visible" r:id="rId11"/>
    <sheet xmlns:r="http://schemas.openxmlformats.org/officeDocument/2006/relationships" name="Saídas de Caixa" sheetId="12" state="visible" r:id="rId12"/>
  </sheets>
  <definedNames>
    <definedName name="rngComBase" hidden="0" function="0" vbProcedure="0">Configurações!$C$5:$C$14</definedName>
    <definedName name="rngComFunc" hidden="0" function="0" vbProcedure="0">Configurações!$A$5:$A$14</definedName>
    <definedName name="rngComTaxa" hidden="0" function="0" vbProcedure="0">Configurações!$B$5:$B$14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0"/>
    <numFmt numFmtId="166" formatCode="dd/mm/yyyy"/>
    <numFmt numFmtId="167" formatCode="#,##0.00&quot; €&quot;;\-#,##0.00&quot; €&quot;;\-"/>
    <numFmt numFmtId="168" formatCode="#,##0.00&quot; €&quot;"/>
  </numFmts>
  <fonts count="4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Calibri"/>
      <charset val="1"/>
      <family val="0"/>
      <color theme="1"/>
      <sz val="11"/>
    </font>
    <font>
      <name val="Nunito"/>
      <charset val="1"/>
      <family val="0"/>
      <b val="1"/>
      <color rgb="FF1E7BA0"/>
      <sz val="22"/>
    </font>
    <font>
      <name val="Nunito"/>
      <charset val="1"/>
      <family val="0"/>
      <color rgb="FFE28DB8"/>
      <sz val="11"/>
    </font>
    <font>
      <name val="Nunito"/>
      <charset val="1"/>
      <family val="0"/>
      <b val="1"/>
      <color rgb="FFFFFFFF"/>
      <sz val="11"/>
    </font>
    <font>
      <name val="Nunito"/>
      <charset val="1"/>
      <family val="0"/>
      <color rgb="FF333333"/>
      <sz val="10"/>
    </font>
    <font>
      <name val="Nunito"/>
      <charset val="1"/>
      <family val="0"/>
      <b val="1"/>
      <color rgb="FF1E7BA0"/>
      <sz val="15"/>
    </font>
    <font>
      <name val="Nunito"/>
      <charset val="1"/>
      <family val="0"/>
      <i val="1"/>
      <color rgb="FF7A8A93"/>
      <sz val="9"/>
    </font>
    <font>
      <name val="Nunito"/>
      <charset val="1"/>
      <family val="0"/>
      <b val="1"/>
      <color rgb="FFE28DB8"/>
      <sz val="11"/>
    </font>
    <font>
      <name val="Nunito"/>
      <charset val="1"/>
      <family val="0"/>
      <b val="1"/>
      <color rgb="FFFFFFFF"/>
      <sz val="10"/>
    </font>
    <font>
      <name val="Nunito"/>
      <charset val="1"/>
      <family val="0"/>
      <b val="1"/>
      <color rgb="FF12556F"/>
      <sz val="10"/>
    </font>
    <font>
      <name val="Nunito"/>
      <charset val="1"/>
      <family val="0"/>
      <color rgb="FF12556F"/>
      <sz val="10"/>
    </font>
    <font>
      <name val="Nunito"/>
      <charset val="1"/>
      <family val="0"/>
      <i val="1"/>
      <color rgb="FF7A8A93"/>
      <sz val="8"/>
    </font>
    <font>
      <name val="Nunito"/>
      <charset val="1"/>
      <family val="0"/>
      <color rgb="FF333333"/>
      <sz val="9"/>
    </font>
    <font>
      <name val="Calibri"/>
      <charset val="1"/>
      <family val="0"/>
      <b val="1"/>
      <color rgb="FFFFFFFF"/>
      <sz val="11"/>
    </font>
    <font>
      <name val="Nunito"/>
      <charset val="1"/>
      <family val="0"/>
      <b val="1"/>
      <color rgb="FF9C6500"/>
      <sz val="9"/>
    </font>
    <font>
      <name val="Nunito"/>
      <charset val="1"/>
      <family val="0"/>
      <i val="1"/>
      <color rgb="FF7A8A93"/>
      <sz val="10"/>
    </font>
    <font>
      <name val="Nunito"/>
      <charset val="1"/>
      <family val="0"/>
      <b val="1"/>
      <color rgb="FF333333"/>
      <sz val="10"/>
    </font>
    <font>
      <name val="Nunito"/>
      <charset val="1"/>
      <family val="0"/>
      <b val="1"/>
      <color rgb="FFF2A93B"/>
      <sz val="10"/>
    </font>
    <font>
      <name val="Nunito"/>
      <charset val="1"/>
      <family val="0"/>
      <b val="1"/>
      <color rgb="FF1E7BA0"/>
      <sz val="10"/>
    </font>
    <font>
      <name val="Nunito"/>
      <charset val="1"/>
      <family val="0"/>
      <b val="1"/>
      <color rgb="FFE28DB8"/>
      <sz val="10"/>
    </font>
    <font>
      <name val="Nunito"/>
      <charset val="1"/>
      <family val="0"/>
      <i val="1"/>
      <color rgb="FFE28DB8"/>
      <sz val="9"/>
    </font>
    <font>
      <name val="Nunito"/>
      <charset val="1"/>
      <family val="0"/>
      <color rgb="FFF2A93B"/>
      <sz val="11"/>
    </font>
    <font>
      <name val="Nunito"/>
      <charset val="1"/>
      <family val="0"/>
      <b val="1"/>
      <color rgb="FF1E7BA0"/>
      <sz val="11"/>
    </font>
    <font>
      <name val="Nunito"/>
      <charset val="1"/>
      <family val="0"/>
      <b val="1"/>
      <color rgb="FFF2A93B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Nunito"/>
      <charset val="1"/>
      <family val="0"/>
      <b val="1"/>
      <color rgb="FF375623"/>
      <sz val="10"/>
    </font>
    <font>
      <name val="Nunito"/>
      <charset val="1"/>
      <family val="0"/>
      <b val="1"/>
      <color rgb="FF1E7BA0"/>
      <sz val="18"/>
    </font>
    <font>
      <name val="Nunito"/>
      <charset val="1"/>
      <family val="0"/>
      <i val="1"/>
      <color rgb="FFE28DB8"/>
      <sz val="10"/>
    </font>
    <font>
      <name val="Nunito"/>
      <charset val="1"/>
      <family val="0"/>
      <b val="1"/>
      <color rgb="FF7A8A93"/>
      <sz val="9"/>
    </font>
    <font>
      <name val="Nunito"/>
      <charset val="1"/>
      <family val="0"/>
      <b val="1"/>
      <color rgb="FFF2A93B"/>
      <sz val="15"/>
    </font>
    <font>
      <name val="Nunito"/>
      <charset val="1"/>
      <family val="0"/>
      <b val="1"/>
      <color rgb="FF3FA7C4"/>
      <sz val="15"/>
    </font>
    <font>
      <name val="Nunito"/>
      <charset val="1"/>
      <family val="0"/>
      <b val="1"/>
      <color rgb="FF12556F"/>
      <sz val="12"/>
    </font>
    <font>
      <name val="Nunito"/>
      <charset val="1"/>
      <family val="0"/>
      <color rgb="FFE28DB8"/>
      <sz val="10"/>
    </font>
    <font>
      <name val="Calibri"/>
      <charset val="1"/>
      <family val="0"/>
      <b val="1"/>
      <color rgb="FFFFFFFF"/>
      <sz val="16"/>
    </font>
  </fonts>
  <fills count="10">
    <fill>
      <patternFill/>
    </fill>
    <fill>
      <patternFill patternType="gray125"/>
    </fill>
    <fill>
      <patternFill patternType="solid">
        <fgColor rgb="FF1E7BA0"/>
        <bgColor rgb="FF217FA2"/>
      </patternFill>
    </fill>
    <fill>
      <patternFill patternType="solid">
        <fgColor rgb="FFF2A93B"/>
        <bgColor rgb="FFFFCC00"/>
      </patternFill>
    </fill>
    <fill>
      <patternFill patternType="solid">
        <fgColor rgb="FF3FA7C4"/>
        <bgColor rgb="FF4F81BD"/>
      </patternFill>
    </fill>
    <fill>
      <patternFill patternType="solid">
        <fgColor rgb="FFFDEFD6"/>
        <bgColor rgb="FFF5FAFC"/>
      </patternFill>
    </fill>
    <fill>
      <patternFill patternType="solid">
        <fgColor rgb="FFE9F4F9"/>
        <bgColor rgb="FFF5FAFC"/>
      </patternFill>
    </fill>
    <fill>
      <patternFill patternType="solid">
        <fgColor rgb="FF217FA2"/>
        <bgColor rgb="FF1E7BA0"/>
      </patternFill>
    </fill>
    <fill>
      <patternFill patternType="solid">
        <fgColor rgb="FFF5FAFC"/>
        <bgColor rgb="FFFFFFFF"/>
      </patternFill>
    </fill>
    <fill>
      <patternFill patternType="solid">
        <fgColor rgb="FFE28DB8"/>
        <bgColor rgb="FFFF808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7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24">
      <alignment horizontal="general" vertical="bottom"/>
    </xf>
    <xf numFmtId="0" fontId="7" fillId="0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left" vertical="center"/>
    </xf>
    <xf numFmtId="0" fontId="9" fillId="0" borderId="0" applyAlignment="1" pivotButton="0" quotePrefix="0" xfId="24">
      <alignment horizontal="general" vertical="bottom"/>
    </xf>
    <xf numFmtId="0" fontId="8" fillId="3" borderId="0" applyAlignment="1" pivotButton="0" quotePrefix="0" xfId="24">
      <alignment horizontal="left" vertical="center"/>
    </xf>
    <xf numFmtId="0" fontId="10" fillId="0" borderId="0" applyAlignment="1" pivotButton="0" quotePrefix="0" xfId="24">
      <alignment horizontal="general" vertical="bottom"/>
    </xf>
    <xf numFmtId="0" fontId="11" fillId="0" borderId="0" applyAlignment="1" pivotButton="0" quotePrefix="0" xfId="24">
      <alignment horizontal="general" vertical="bottom"/>
    </xf>
    <xf numFmtId="0" fontId="12" fillId="0" borderId="0" applyAlignment="1" pivotButton="0" quotePrefix="0" xfId="24">
      <alignment horizontal="general" vertical="bottom"/>
    </xf>
    <xf numFmtId="0" fontId="13" fillId="4" borderId="0" applyAlignment="1" pivotButton="0" quotePrefix="0" xfId="24">
      <alignment horizontal="center" vertical="center" wrapText="1"/>
    </xf>
    <xf numFmtId="0" fontId="13" fillId="3" borderId="0" applyAlignment="1" pivotButton="0" quotePrefix="0" xfId="24">
      <alignment horizontal="center" vertical="center" wrapText="1"/>
    </xf>
    <xf numFmtId="0" fontId="13" fillId="4" borderId="0" applyAlignment="1" pivotButton="0" quotePrefix="0" xfId="24">
      <alignment horizontal="center" vertical="bottom"/>
    </xf>
    <xf numFmtId="0" fontId="9" fillId="0" borderId="1" applyAlignment="1" pivotButton="0" quotePrefix="0" xfId="24">
      <alignment horizontal="general" vertical="bottom"/>
    </xf>
    <xf numFmtId="164" fontId="14" fillId="5" borderId="1" applyAlignment="1" pivotButton="0" quotePrefix="0" xfId="24">
      <alignment horizontal="general" vertical="bottom"/>
    </xf>
    <xf numFmtId="0" fontId="15" fillId="6" borderId="1" applyAlignment="1" pivotButton="0" quotePrefix="0" xfId="24">
      <alignment horizontal="general" vertical="bottom"/>
    </xf>
    <xf numFmtId="165" fontId="15" fillId="6" borderId="1" applyAlignment="1" pivotButton="0" quotePrefix="0" xfId="24">
      <alignment horizontal="general" vertical="bottom"/>
    </xf>
    <xf numFmtId="0" fontId="16" fillId="0" borderId="0" applyAlignment="1" pivotButton="0" quotePrefix="0" xfId="24">
      <alignment horizontal="general" vertical="bottom"/>
    </xf>
    <xf numFmtId="0" fontId="17" fillId="0" borderId="0" applyAlignment="1" pivotButton="0" quotePrefix="0" xfId="24">
      <alignment horizontal="general" vertical="bottom"/>
    </xf>
    <xf numFmtId="0" fontId="18" fillId="7" borderId="0" applyAlignment="1" pivotButton="0" quotePrefix="0" xfId="24">
      <alignment horizontal="general" vertical="bottom"/>
    </xf>
    <xf numFmtId="0" fontId="19" fillId="5" borderId="0" applyAlignment="1" pivotButton="0" quotePrefix="0" xfId="24">
      <alignment horizontal="general" vertical="bottom"/>
    </xf>
    <xf numFmtId="0" fontId="9" fillId="0" borderId="1" applyAlignment="1" pivotButton="0" quotePrefix="0" xfId="24">
      <alignment horizontal="general" vertical="center"/>
    </xf>
    <xf numFmtId="166" fontId="9" fillId="0" borderId="1" applyAlignment="1" pivotButton="0" quotePrefix="0" xfId="24">
      <alignment horizontal="general" vertical="center"/>
    </xf>
    <xf numFmtId="167" fontId="9" fillId="0" borderId="1" applyAlignment="1" pivotButton="0" quotePrefix="0" xfId="24">
      <alignment horizontal="general" vertical="center"/>
    </xf>
    <xf numFmtId="164" fontId="9" fillId="0" borderId="1" applyAlignment="1" pivotButton="0" quotePrefix="0" xfId="24">
      <alignment horizontal="general" vertical="center"/>
    </xf>
    <xf numFmtId="0" fontId="9" fillId="8" borderId="1" applyAlignment="1" pivotButton="0" quotePrefix="0" xfId="24">
      <alignment horizontal="general" vertical="center"/>
    </xf>
    <xf numFmtId="166" fontId="9" fillId="8" borderId="1" applyAlignment="1" pivotButton="0" quotePrefix="0" xfId="24">
      <alignment horizontal="general" vertical="center"/>
    </xf>
    <xf numFmtId="167" fontId="9" fillId="8" borderId="1" applyAlignment="1" pivotButton="0" quotePrefix="0" xfId="24">
      <alignment horizontal="general" vertical="center"/>
    </xf>
    <xf numFmtId="164" fontId="9" fillId="8" borderId="1" applyAlignment="1" pivotButton="0" quotePrefix="0" xfId="24">
      <alignment horizontal="general" vertical="center"/>
    </xf>
    <xf numFmtId="0" fontId="20" fillId="0" borderId="0" applyAlignment="1" pivotButton="0" quotePrefix="0" xfId="24">
      <alignment horizontal="general" vertical="bottom"/>
    </xf>
    <xf numFmtId="0" fontId="13" fillId="2" borderId="0" applyAlignment="1" pivotButton="0" quotePrefix="0" xfId="24">
      <alignment horizontal="center" vertical="center" wrapText="1"/>
    </xf>
    <xf numFmtId="166" fontId="9" fillId="0" borderId="1" applyAlignment="1" pivotButton="0" quotePrefix="0" xfId="24">
      <alignment horizontal="general" vertical="bottom"/>
    </xf>
    <xf numFmtId="167" fontId="9" fillId="0" borderId="1" applyAlignment="1" pivotButton="0" quotePrefix="0" xfId="24">
      <alignment horizontal="general" vertical="bottom"/>
    </xf>
    <xf numFmtId="164" fontId="9" fillId="0" borderId="1" applyAlignment="1" pivotButton="0" quotePrefix="0" xfId="24">
      <alignment horizontal="general" vertical="bottom"/>
    </xf>
    <xf numFmtId="0" fontId="13" fillId="3" borderId="0" applyAlignment="1" pivotButton="0" quotePrefix="0" xfId="24">
      <alignment horizontal="center" vertical="bottom"/>
    </xf>
    <xf numFmtId="167" fontId="5" fillId="0" borderId="1" applyAlignment="1" pivotButton="0" quotePrefix="0" xfId="24">
      <alignment horizontal="general" vertical="bottom"/>
    </xf>
    <xf numFmtId="0" fontId="21" fillId="0" borderId="0" applyAlignment="1" pivotButton="0" quotePrefix="0" xfId="24">
      <alignment horizontal="general" vertical="bottom"/>
    </xf>
    <xf numFmtId="167" fontId="22" fillId="0" borderId="0" applyAlignment="1" pivotButton="0" quotePrefix="0" xfId="24">
      <alignment horizontal="general" vertical="bottom"/>
    </xf>
    <xf numFmtId="0" fontId="13" fillId="9" borderId="0" applyAlignment="1" pivotButton="0" quotePrefix="0" xfId="24">
      <alignment horizontal="center" vertical="center" wrapText="1"/>
    </xf>
    <xf numFmtId="167" fontId="15" fillId="6" borderId="1" applyAlignment="1" pivotButton="0" quotePrefix="0" xfId="24">
      <alignment horizontal="general" vertical="bottom"/>
    </xf>
    <xf numFmtId="166" fontId="5" fillId="0" borderId="1" applyAlignment="1" pivotButton="0" quotePrefix="0" xfId="24">
      <alignment horizontal="general" vertical="bottom"/>
    </xf>
    <xf numFmtId="0" fontId="5" fillId="0" borderId="1" applyAlignment="1" pivotButton="0" quotePrefix="0" xfId="24">
      <alignment horizontal="general" vertical="bottom"/>
    </xf>
    <xf numFmtId="0" fontId="21" fillId="0" borderId="0" applyAlignment="1" pivotButton="0" quotePrefix="0" xfId="24">
      <alignment horizontal="right" vertical="bottom"/>
    </xf>
    <xf numFmtId="167" fontId="23" fillId="0" borderId="0" applyAlignment="1" pivotButton="0" quotePrefix="0" xfId="24">
      <alignment horizontal="general" vertical="bottom"/>
    </xf>
    <xf numFmtId="0" fontId="24" fillId="0" borderId="0" applyAlignment="1" pivotButton="0" quotePrefix="0" xfId="24">
      <alignment horizontal="general" vertical="bottom"/>
    </xf>
    <xf numFmtId="167" fontId="17" fillId="0" borderId="0" applyAlignment="1" pivotButton="0" quotePrefix="0" xfId="24">
      <alignment horizontal="general" vertical="bottom"/>
    </xf>
    <xf numFmtId="167" fontId="9" fillId="6" borderId="1" applyAlignment="1" pivotButton="0" quotePrefix="0" xfId="24">
      <alignment horizontal="general" vertical="center"/>
    </xf>
    <xf numFmtId="167" fontId="24" fillId="0" borderId="0" applyAlignment="1" pivotButton="0" quotePrefix="0" xfId="24">
      <alignment horizontal="general" vertical="bottom"/>
    </xf>
    <xf numFmtId="167" fontId="21" fillId="0" borderId="1" applyAlignment="1" pivotButton="0" quotePrefix="0" xfId="24">
      <alignment horizontal="general" vertical="bottom"/>
    </xf>
    <xf numFmtId="0" fontId="25" fillId="0" borderId="0" applyAlignment="1" pivotButton="0" quotePrefix="0" xfId="24">
      <alignment horizontal="general" vertical="bottom"/>
    </xf>
    <xf numFmtId="0" fontId="26" fillId="8" borderId="1" applyAlignment="1" pivotButton="0" quotePrefix="0" xfId="24">
      <alignment horizontal="general" vertical="center"/>
    </xf>
    <xf numFmtId="0" fontId="26" fillId="0" borderId="1" applyAlignment="1" pivotButton="0" quotePrefix="0" xfId="24">
      <alignment horizontal="general" vertical="center"/>
    </xf>
    <xf numFmtId="167" fontId="27" fillId="0" borderId="0" applyAlignment="1" pivotButton="0" quotePrefix="0" xfId="24">
      <alignment horizontal="general" vertical="bottom"/>
    </xf>
    <xf numFmtId="167" fontId="28" fillId="0" borderId="0" applyAlignment="1" pivotButton="0" quotePrefix="0" xfId="24">
      <alignment horizontal="general" vertical="bottom"/>
    </xf>
    <xf numFmtId="0" fontId="10" fillId="0" borderId="0" applyAlignment="1" pivotButton="0" quotePrefix="0" xfId="24">
      <alignment horizontal="general" vertical="bottom"/>
    </xf>
    <xf numFmtId="0" fontId="11" fillId="0" borderId="0" applyAlignment="1" pivotButton="0" quotePrefix="0" xfId="24">
      <alignment horizontal="general" vertical="bottom"/>
    </xf>
    <xf numFmtId="0" fontId="13" fillId="7" borderId="0" applyAlignment="1" pivotButton="0" quotePrefix="0" xfId="24">
      <alignment horizontal="center" vertical="center" wrapText="1"/>
    </xf>
    <xf numFmtId="168" fontId="5" fillId="0" borderId="1" applyAlignment="1" pivotButton="0" quotePrefix="0" xfId="24">
      <alignment horizontal="general" vertical="bottom"/>
    </xf>
    <xf numFmtId="168" fontId="21" fillId="0" borderId="1" applyAlignment="1" pivotButton="0" quotePrefix="0" xfId="24">
      <alignment horizontal="general" vertical="bottom"/>
    </xf>
    <xf numFmtId="168" fontId="5" fillId="0" borderId="0" applyAlignment="1" pivotButton="0" quotePrefix="0" xfId="24">
      <alignment horizontal="general" vertical="bottom"/>
    </xf>
    <xf numFmtId="0" fontId="21" fillId="0" borderId="1" applyAlignment="1" pivotButton="0" quotePrefix="0" xfId="24">
      <alignment horizontal="general" vertical="bottom"/>
    </xf>
    <xf numFmtId="168" fontId="23" fillId="0" borderId="1" applyAlignment="1" pivotButton="0" quotePrefix="0" xfId="24">
      <alignment horizontal="general" vertical="bottom"/>
    </xf>
    <xf numFmtId="168" fontId="31" fillId="0" borderId="1" applyAlignment="1" pivotButton="0" quotePrefix="0" xfId="24">
      <alignment horizontal="general" vertical="bottom"/>
    </xf>
    <xf numFmtId="0" fontId="32" fillId="0" borderId="0" applyAlignment="1" pivotButton="0" quotePrefix="0" xfId="24">
      <alignment horizontal="general" vertical="bottom"/>
    </xf>
    <xf numFmtId="0" fontId="33" fillId="0" borderId="0" applyAlignment="1" pivotButton="0" quotePrefix="0" xfId="24">
      <alignment horizontal="general" vertical="bottom"/>
    </xf>
    <xf numFmtId="0" fontId="34" fillId="6" borderId="0" applyAlignment="1" pivotButton="0" quotePrefix="0" xfId="24">
      <alignment horizontal="left" vertical="center"/>
    </xf>
    <xf numFmtId="0" fontId="34" fillId="5" borderId="0" applyAlignment="1" pivotButton="0" quotePrefix="0" xfId="24">
      <alignment horizontal="left" vertical="center"/>
    </xf>
    <xf numFmtId="167" fontId="10" fillId="6" borderId="0" applyAlignment="1" pivotButton="0" quotePrefix="0" xfId="24">
      <alignment horizontal="left" vertical="center"/>
    </xf>
    <xf numFmtId="167" fontId="35" fillId="5" borderId="0" applyAlignment="1" pivotButton="0" quotePrefix="0" xfId="24">
      <alignment horizontal="left" vertical="center"/>
    </xf>
    <xf numFmtId="1" fontId="36" fillId="6" borderId="0" applyAlignment="1" pivotButton="0" quotePrefix="0" xfId="24">
      <alignment horizontal="left" vertical="center"/>
    </xf>
    <xf numFmtId="167" fontId="36" fillId="6" borderId="0" applyAlignment="1" pivotButton="0" quotePrefix="0" xfId="24">
      <alignment horizontal="left" vertical="center"/>
    </xf>
    <xf numFmtId="164" fontId="35" fillId="5" borderId="0" applyAlignment="1" pivotButton="0" quotePrefix="0" xfId="24">
      <alignment horizontal="left" vertical="center"/>
    </xf>
    <xf numFmtId="0" fontId="37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38" fillId="8" borderId="1" applyAlignment="1" pivotButton="0" quotePrefix="0" xfId="24">
      <alignment horizontal="general" vertical="bottom"/>
    </xf>
    <xf numFmtId="167" fontId="5" fillId="0" borderId="0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9" fillId="7" borderId="0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24">
      <alignment horizontal="general" vertical="bottom"/>
    </xf>
    <xf numFmtId="0" fontId="7" fillId="0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left" vertical="center"/>
    </xf>
    <xf numFmtId="0" fontId="9" fillId="0" borderId="0" applyAlignment="1" pivotButton="0" quotePrefix="0" xfId="24">
      <alignment horizontal="general" vertical="bottom"/>
    </xf>
    <xf numFmtId="0" fontId="8" fillId="3" borderId="0" applyAlignment="1" pivotButton="0" quotePrefix="0" xfId="24">
      <alignment horizontal="left" vertical="center"/>
    </xf>
    <xf numFmtId="0" fontId="10" fillId="0" borderId="0" applyAlignment="1" pivotButton="0" quotePrefix="0" xfId="24">
      <alignment horizontal="general" vertical="bottom"/>
    </xf>
    <xf numFmtId="0" fontId="11" fillId="0" borderId="0" applyAlignment="1" pivotButton="0" quotePrefix="0" xfId="24">
      <alignment horizontal="general" vertical="bottom"/>
    </xf>
    <xf numFmtId="0" fontId="12" fillId="0" borderId="0" applyAlignment="1" pivotButton="0" quotePrefix="0" xfId="24">
      <alignment horizontal="general" vertical="bottom"/>
    </xf>
    <xf numFmtId="0" fontId="13" fillId="4" borderId="0" applyAlignment="1" pivotButton="0" quotePrefix="0" xfId="24">
      <alignment horizontal="center" vertical="center" wrapText="1"/>
    </xf>
    <xf numFmtId="0" fontId="13" fillId="3" borderId="0" applyAlignment="1" pivotButton="0" quotePrefix="0" xfId="24">
      <alignment horizontal="center" vertical="center" wrapText="1"/>
    </xf>
    <xf numFmtId="0" fontId="13" fillId="4" borderId="0" applyAlignment="1" pivotButton="0" quotePrefix="0" xfId="24">
      <alignment horizontal="center" vertical="bottom"/>
    </xf>
    <xf numFmtId="0" fontId="9" fillId="0" borderId="1" applyAlignment="1" pivotButton="0" quotePrefix="0" xfId="24">
      <alignment horizontal="general" vertical="bottom"/>
    </xf>
    <xf numFmtId="164" fontId="14" fillId="5" borderId="1" applyAlignment="1" pivotButton="0" quotePrefix="0" xfId="24">
      <alignment horizontal="general" vertical="bottom"/>
    </xf>
    <xf numFmtId="0" fontId="15" fillId="6" borderId="1" applyAlignment="1" pivotButton="0" quotePrefix="0" xfId="24">
      <alignment horizontal="general" vertical="bottom"/>
    </xf>
    <xf numFmtId="165" fontId="15" fillId="6" borderId="1" applyAlignment="1" pivotButton="0" quotePrefix="0" xfId="24">
      <alignment horizontal="general" vertical="bottom"/>
    </xf>
    <xf numFmtId="0" fontId="16" fillId="0" borderId="0" applyAlignment="1" pivotButton="0" quotePrefix="0" xfId="24">
      <alignment horizontal="general" vertical="bottom"/>
    </xf>
    <xf numFmtId="0" fontId="17" fillId="0" borderId="0" applyAlignment="1" pivotButton="0" quotePrefix="0" xfId="24">
      <alignment horizontal="general" vertical="bottom"/>
    </xf>
    <xf numFmtId="0" fontId="18" fillId="7" borderId="0" applyAlignment="1" pivotButton="0" quotePrefix="0" xfId="24">
      <alignment horizontal="general" vertical="bottom"/>
    </xf>
    <xf numFmtId="0" fontId="19" fillId="5" borderId="0" applyAlignment="1" pivotButton="0" quotePrefix="0" xfId="24">
      <alignment horizontal="general" vertical="bottom"/>
    </xf>
    <xf numFmtId="0" fontId="9" fillId="0" borderId="1" applyAlignment="1" pivotButton="0" quotePrefix="0" xfId="24">
      <alignment horizontal="general" vertical="center"/>
    </xf>
    <xf numFmtId="166" fontId="9" fillId="0" borderId="1" applyAlignment="1" pivotButton="0" quotePrefix="0" xfId="24">
      <alignment horizontal="general" vertical="center"/>
    </xf>
    <xf numFmtId="167" fontId="9" fillId="0" borderId="1" applyAlignment="1" pivotButton="0" quotePrefix="0" xfId="24">
      <alignment horizontal="general" vertical="center"/>
    </xf>
    <xf numFmtId="164" fontId="9" fillId="0" borderId="1" applyAlignment="1" pivotButton="0" quotePrefix="0" xfId="24">
      <alignment horizontal="general" vertical="center"/>
    </xf>
    <xf numFmtId="0" fontId="9" fillId="8" borderId="1" applyAlignment="1" pivotButton="0" quotePrefix="0" xfId="24">
      <alignment horizontal="general" vertical="center"/>
    </xf>
    <xf numFmtId="166" fontId="9" fillId="8" borderId="1" applyAlignment="1" pivotButton="0" quotePrefix="0" xfId="24">
      <alignment horizontal="general" vertical="center"/>
    </xf>
    <xf numFmtId="167" fontId="9" fillId="8" borderId="1" applyAlignment="1" pivotButton="0" quotePrefix="0" xfId="24">
      <alignment horizontal="general" vertical="center"/>
    </xf>
    <xf numFmtId="164" fontId="9" fillId="8" borderId="1" applyAlignment="1" pivotButton="0" quotePrefix="0" xfId="24">
      <alignment horizontal="general" vertical="center"/>
    </xf>
    <xf numFmtId="0" fontId="20" fillId="0" borderId="0" applyAlignment="1" pivotButton="0" quotePrefix="0" xfId="24">
      <alignment horizontal="general" vertical="bottom"/>
    </xf>
    <xf numFmtId="0" fontId="13" fillId="2" borderId="0" applyAlignment="1" pivotButton="0" quotePrefix="0" xfId="24">
      <alignment horizontal="center" vertical="center" wrapText="1"/>
    </xf>
    <xf numFmtId="166" fontId="9" fillId="0" borderId="1" applyAlignment="1" pivotButton="0" quotePrefix="0" xfId="24">
      <alignment horizontal="general" vertical="bottom"/>
    </xf>
    <xf numFmtId="167" fontId="9" fillId="0" borderId="1" applyAlignment="1" pivotButton="0" quotePrefix="0" xfId="24">
      <alignment horizontal="general" vertical="bottom"/>
    </xf>
    <xf numFmtId="164" fontId="9" fillId="0" borderId="1" applyAlignment="1" pivotButton="0" quotePrefix="0" xfId="24">
      <alignment horizontal="general" vertical="bottom"/>
    </xf>
    <xf numFmtId="0" fontId="13" fillId="3" borderId="0" applyAlignment="1" pivotButton="0" quotePrefix="0" xfId="24">
      <alignment horizontal="center" vertical="bottom"/>
    </xf>
    <xf numFmtId="167" fontId="5" fillId="0" borderId="1" applyAlignment="1" pivotButton="0" quotePrefix="0" xfId="24">
      <alignment horizontal="general" vertical="bottom"/>
    </xf>
    <xf numFmtId="0" fontId="21" fillId="0" borderId="0" applyAlignment="1" pivotButton="0" quotePrefix="0" xfId="24">
      <alignment horizontal="general" vertical="bottom"/>
    </xf>
    <xf numFmtId="167" fontId="22" fillId="0" borderId="0" applyAlignment="1" pivotButton="0" quotePrefix="0" xfId="24">
      <alignment horizontal="general" vertical="bottom"/>
    </xf>
    <xf numFmtId="0" fontId="13" fillId="9" borderId="0" applyAlignment="1" pivotButton="0" quotePrefix="0" xfId="24">
      <alignment horizontal="center" vertical="center" wrapText="1"/>
    </xf>
    <xf numFmtId="167" fontId="15" fillId="6" borderId="1" applyAlignment="1" pivotButton="0" quotePrefix="0" xfId="24">
      <alignment horizontal="general" vertical="bottom"/>
    </xf>
    <xf numFmtId="166" fontId="5" fillId="0" borderId="1" applyAlignment="1" pivotButton="0" quotePrefix="0" xfId="24">
      <alignment horizontal="general" vertical="bottom"/>
    </xf>
    <xf numFmtId="0" fontId="5" fillId="0" borderId="1" applyAlignment="1" pivotButton="0" quotePrefix="0" xfId="24">
      <alignment horizontal="general" vertical="bottom"/>
    </xf>
    <xf numFmtId="0" fontId="21" fillId="0" borderId="0" applyAlignment="1" pivotButton="0" quotePrefix="0" xfId="24">
      <alignment horizontal="right" vertical="bottom"/>
    </xf>
    <xf numFmtId="167" fontId="23" fillId="0" borderId="0" applyAlignment="1" pivotButton="0" quotePrefix="0" xfId="24">
      <alignment horizontal="general" vertical="bottom"/>
    </xf>
    <xf numFmtId="0" fontId="24" fillId="0" borderId="0" applyAlignment="1" pivotButton="0" quotePrefix="0" xfId="24">
      <alignment horizontal="general" vertical="bottom"/>
    </xf>
    <xf numFmtId="167" fontId="17" fillId="0" borderId="0" applyAlignment="1" pivotButton="0" quotePrefix="0" xfId="24">
      <alignment horizontal="general" vertical="bottom"/>
    </xf>
    <xf numFmtId="167" fontId="9" fillId="6" borderId="1" applyAlignment="1" pivotButton="0" quotePrefix="0" xfId="24">
      <alignment horizontal="general" vertical="center"/>
    </xf>
    <xf numFmtId="167" fontId="24" fillId="0" borderId="0" applyAlignment="1" pivotButton="0" quotePrefix="0" xfId="24">
      <alignment horizontal="general" vertical="bottom"/>
    </xf>
    <xf numFmtId="167" fontId="21" fillId="0" borderId="1" applyAlignment="1" pivotButton="0" quotePrefix="0" xfId="24">
      <alignment horizontal="general" vertical="bottom"/>
    </xf>
    <xf numFmtId="0" fontId="25" fillId="0" borderId="0" applyAlignment="1" pivotButton="0" quotePrefix="0" xfId="24">
      <alignment horizontal="general" vertical="bottom"/>
    </xf>
    <xf numFmtId="0" fontId="26" fillId="8" borderId="1" applyAlignment="1" pivotButton="0" quotePrefix="0" xfId="24">
      <alignment horizontal="general" vertical="center"/>
    </xf>
    <xf numFmtId="0" fontId="26" fillId="0" borderId="1" applyAlignment="1" pivotButton="0" quotePrefix="0" xfId="24">
      <alignment horizontal="general" vertical="center"/>
    </xf>
    <xf numFmtId="167" fontId="27" fillId="0" borderId="0" applyAlignment="1" pivotButton="0" quotePrefix="0" xfId="24">
      <alignment horizontal="general" vertical="bottom"/>
    </xf>
    <xf numFmtId="167" fontId="28" fillId="0" borderId="0" applyAlignment="1" pivotButton="0" quotePrefix="0" xfId="24">
      <alignment horizontal="general" vertical="bottom"/>
    </xf>
    <xf numFmtId="0" fontId="13" fillId="7" borderId="0" applyAlignment="1" pivotButton="0" quotePrefix="0" xfId="24">
      <alignment horizontal="center" vertical="center" wrapText="1"/>
    </xf>
    <xf numFmtId="168" fontId="5" fillId="0" borderId="1" applyAlignment="1" pivotButton="0" quotePrefix="0" xfId="24">
      <alignment horizontal="general" vertical="bottom"/>
    </xf>
    <xf numFmtId="168" fontId="21" fillId="0" borderId="1" applyAlignment="1" pivotButton="0" quotePrefix="0" xfId="24">
      <alignment horizontal="general" vertical="bottom"/>
    </xf>
    <xf numFmtId="168" fontId="5" fillId="0" borderId="0" applyAlignment="1" pivotButton="0" quotePrefix="0" xfId="24">
      <alignment horizontal="general" vertical="bottom"/>
    </xf>
    <xf numFmtId="0" fontId="21" fillId="0" borderId="1" applyAlignment="1" pivotButton="0" quotePrefix="0" xfId="24">
      <alignment horizontal="general" vertical="bottom"/>
    </xf>
    <xf numFmtId="168" fontId="23" fillId="0" borderId="1" applyAlignment="1" pivotButton="0" quotePrefix="0" xfId="24">
      <alignment horizontal="general" vertical="bottom"/>
    </xf>
    <xf numFmtId="168" fontId="31" fillId="0" borderId="1" applyAlignment="1" pivotButton="0" quotePrefix="0" xfId="24">
      <alignment horizontal="general" vertical="bottom"/>
    </xf>
    <xf numFmtId="0" fontId="32" fillId="0" borderId="0" applyAlignment="1" pivotButton="0" quotePrefix="0" xfId="24">
      <alignment horizontal="general" vertical="bottom"/>
    </xf>
    <xf numFmtId="0" fontId="33" fillId="0" borderId="0" applyAlignment="1" pivotButton="0" quotePrefix="0" xfId="24">
      <alignment horizontal="general" vertical="bottom"/>
    </xf>
    <xf numFmtId="0" fontId="34" fillId="6" borderId="0" applyAlignment="1" pivotButton="0" quotePrefix="0" xfId="24">
      <alignment horizontal="left" vertical="center"/>
    </xf>
    <xf numFmtId="0" fontId="34" fillId="5" borderId="0" applyAlignment="1" pivotButton="0" quotePrefix="0" xfId="24">
      <alignment horizontal="left" vertical="center"/>
    </xf>
    <xf numFmtId="167" fontId="10" fillId="6" borderId="0" applyAlignment="1" pivotButton="0" quotePrefix="0" xfId="24">
      <alignment horizontal="left" vertical="center"/>
    </xf>
    <xf numFmtId="167" fontId="35" fillId="5" borderId="0" applyAlignment="1" pivotButton="0" quotePrefix="0" xfId="24">
      <alignment horizontal="left" vertical="center"/>
    </xf>
    <xf numFmtId="1" fontId="36" fillId="6" borderId="0" applyAlignment="1" pivotButton="0" quotePrefix="0" xfId="24">
      <alignment horizontal="left" vertical="center"/>
    </xf>
    <xf numFmtId="167" fontId="36" fillId="6" borderId="0" applyAlignment="1" pivotButton="0" quotePrefix="0" xfId="24">
      <alignment horizontal="left" vertical="center"/>
    </xf>
    <xf numFmtId="164" fontId="35" fillId="5" borderId="0" applyAlignment="1" pivotButton="0" quotePrefix="0" xfId="24">
      <alignment horizontal="left" vertical="center"/>
    </xf>
    <xf numFmtId="0" fontId="37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38" fillId="8" borderId="1" applyAlignment="1" pivotButton="0" quotePrefix="0" xfId="24">
      <alignment horizontal="general" vertical="bottom"/>
    </xf>
    <xf numFmtId="0" fontId="0" fillId="0" borderId="1" pivotButton="0" quotePrefix="0" xfId="0"/>
    <xf numFmtId="167" fontId="5" fillId="0" borderId="0" applyAlignment="1" pivotButton="0" quotePrefix="0" xfId="24">
      <alignment horizontal="general" vertical="bottom"/>
    </xf>
    <xf numFmtId="0" fontId="39" fillId="7" borderId="0" applyAlignment="1" pivotButton="0" quotePrefix="0" xfId="24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1E7BA0"/>
      <rgbColor rgb="FFC0C0C0"/>
      <rgbColor rgb="FF878787"/>
      <rgbColor rgb="FF9999FF"/>
      <rgbColor rgb="FFC0504D"/>
      <rgbColor rgb="FFFDEFD6"/>
      <rgbColor rgb="FFE9F4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17FA2"/>
      <rgbColor rgb="FF0000FF"/>
      <rgbColor rgb="FF00CCFF"/>
      <rgbColor rgb="FFDCE7EE"/>
      <rgbColor rgb="FFF5FAFC"/>
      <rgbColor rgb="FFFFFF99"/>
      <rgbColor rgb="FF99CCFF"/>
      <rgbColor rgb="FFE28DB8"/>
      <rgbColor rgb="FFCC99FF"/>
      <rgbColor rgb="FFFFCC99"/>
      <rgbColor rgb="FF4F81BD"/>
      <rgbColor rgb="FF3FA7C4"/>
      <rgbColor rgb="FF9BBB59"/>
      <rgbColor rgb="FFFFCC00"/>
      <rgbColor rgb="FFF2A93B"/>
      <rgbColor rgb="FFFF6600"/>
      <rgbColor rgb="FF8064A2"/>
      <rgbColor rgb="FF7A8A93"/>
      <rgbColor rgb="FF12556F"/>
      <rgbColor rgb="FF339966"/>
      <rgbColor rgb="FF003300"/>
      <rgbColor rgb="FF375623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Recebido vs. a receber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'Contas a Receber'!$B$46:$B$47</f>
              <strCache>
                <ptCount val="2"/>
                <pt idx="0">
                  <v>Já recebido</v>
                </pt>
                <pt idx="1">
                  <v>A receber</v>
                </pt>
              </strCache>
            </strRef>
          </cat>
          <val>
            <numRef>
              <f>'Contas a Receber'!$C$46:$C$47</f>
              <numCache>
                <formatCode>#,##0.00" €";\-#,##0.00" €";\-</formatCode>
                <ptCount val="2"/>
                <pt idx="0">
                  <v>15425</v>
                </pt>
                <pt idx="1">
                  <v>11690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Receita · Custo · Margem · Lucro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Dashboard!$L$46:$L$49</f>
              <strCache>
                <ptCount val="4"/>
                <pt idx="0">
                  <v>Receita</v>
                </pt>
                <pt idx="1">
                  <v>Custo</v>
                </pt>
                <pt idx="2">
                  <v>Margem</v>
                </pt>
                <pt idx="3">
                  <v>Lucro</v>
                </pt>
              </strCache>
            </strRef>
          </cat>
          <val>
            <numRef>
              <f>Dashboard!$M$46:$M$49</f>
              <numCache>
                <formatCode>#,##0.00" €";\-#,##0.00" €";\-</formatCode>
                <ptCount val="4"/>
                <pt idx="0">
                  <v>27115</v>
                </pt>
                <pt idx="1">
                  <v>21865</v>
                </pt>
                <pt idx="2">
                  <v>5250</v>
                </pt>
                <pt idx="3">
                  <v>-57716.4</v>
                </pt>
              </numCache>
            </numRef>
          </val>
        </ser>
        <gapWidth val="150"/>
        <overlap val="0"/>
        <axId val="35364199"/>
        <axId val="74340972"/>
      </barChart>
      <catAx>
        <axId val="3536419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74340972"/>
        <crosses val="autoZero"/>
        <auto val="1"/>
        <lblAlgn val="ctr"/>
        <lblOffset val="100"/>
        <noMultiLvlLbl val="0"/>
      </catAx>
      <valAx>
        <axId val="7434097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.00&quot; €&quot;;\-#,##0.00&quot; €&quot;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35364199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Custos fixos por categoria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Dashboard!$L$52:$L$55</f>
              <strCache>
                <ptCount val="4"/>
                <pt idx="0">
                  <v>Instalações</v>
                </pt>
                <pt idx="1">
                  <v>Salários</v>
                </pt>
                <pt idx="2">
                  <v>Software</v>
                </pt>
                <pt idx="3">
                  <v>Serviços</v>
                </pt>
              </strCache>
            </strRef>
          </cat>
          <val>
            <numRef>
              <f>Dashboard!$M$52:$M$55</f>
              <numCache>
                <formatCode>#,##0.00" €";\-#,##0.00" €";\-</formatCode>
                <ptCount val="4"/>
                <pt idx="0">
                  <v>650</v>
                </pt>
                <pt idx="1">
                  <v>1750</v>
                </pt>
                <pt idx="2">
                  <v>42</v>
                </pt>
                <pt idx="3">
                  <v>150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43</row>
      <rowOff>145440</rowOff>
    </from>
    <to>
      <col>8</col>
      <colOff>106200</colOff>
      <row>56</row>
      <rowOff>7920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27</row>
      <rowOff>100800</rowOff>
    </from>
    <to>
      <col>5</col>
      <colOff>935640</colOff>
      <row>40</row>
      <rowOff>143280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27</row>
      <rowOff>100800</rowOff>
    </from>
    <to>
      <col>9</col>
      <colOff>215640</colOff>
      <row>40</row>
      <rowOff>143280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FF12556F"/>
    <outlinePr summaryBelow="1" summaryRight="1"/>
    <pageSetUpPr fitToPage="0"/>
  </sheetPr>
  <dimension ref="B2:H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8" min="1" max="1"/>
    <col width="120" customWidth="1" style="78" min="2" max="2"/>
  </cols>
  <sheetData>
    <row r="2" ht="26.8" customHeight="1" s="79">
      <c r="B2" s="80" t="inlineStr">
        <is>
          <t>Let's Go ✈ — Financeiro</t>
        </is>
      </c>
    </row>
    <row r="3" ht="15" customHeight="1" s="79">
      <c r="B3" s="81" t="inlineStr">
        <is>
          <t>Confidencial · só a gestão 🔒</t>
        </is>
      </c>
    </row>
    <row r="5" ht="21.75" customHeight="1" s="79">
      <c r="B5" s="82" t="inlineStr">
        <is>
          <t xml:space="preserve">  Ligação ao operacional</t>
        </is>
      </c>
    </row>
    <row r="6" ht="15" customHeight="1" s="79">
      <c r="B6" s="83" t="inlineStr">
        <is>
          <t>•  A aba «Importar Reservas» recebe o que a equipa insere no ficheiro operacional.</t>
        </is>
      </c>
    </row>
    <row r="7" ht="15" customHeight="1" s="79">
      <c r="B7" s="83" t="inlineStr">
        <is>
          <t>•  No Google Sheets, cola na célula A3 dessa aba:</t>
        </is>
      </c>
    </row>
    <row r="8" ht="15" customHeight="1" s="79">
      <c r="B8" s="83" t="inlineStr">
        <is>
          <t>•       =IMPORTRANGE(Configurações!B17; "Reservas!A2:AF")</t>
        </is>
      </c>
    </row>
    <row r="9" ht="15" customHeight="1" s="79">
      <c r="B9" s="83" t="inlineStr">
        <is>
          <t>•  Na 1.ª vez o Sheets pede «Permitir acesso». É uma ligação de sentido único (só lê).</t>
        </is>
      </c>
    </row>
    <row r="11" ht="21.75" customHeight="1" s="79">
      <c r="B11" s="84" t="inlineStr">
        <is>
          <t xml:space="preserve">  O que este ficheiro faz 💰</t>
        </is>
      </c>
    </row>
    <row r="12" ht="15" customHeight="1" s="79">
      <c r="B12" s="83" t="inlineStr">
        <is>
          <t>•  Comissões por funcionário (confidencial) · Custos fixos · Fluxo de caixa.</t>
        </is>
      </c>
    </row>
    <row r="13" ht="15" customHeight="1" s="79">
      <c r="B13" s="83" t="inlineStr">
        <is>
          <t>•  Contas a receber · Lucros (P&amp;L) · Dashboard. O custo usado é o custo TOTAL de fornecedores da reserva.</t>
        </is>
      </c>
    </row>
  </sheetData>
  <mergeCells count="2">
    <mergeCell ref="B5:H5"/>
    <mergeCell ref="B11:H1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A8A93"/>
    <outlinePr summaryBelow="1" summaryRight="1"/>
    <pageSetUpPr fitToPage="0"/>
  </sheetPr>
  <dimension ref="A1:F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78" min="1" max="1"/>
    <col width="12" customWidth="1" style="78" min="2" max="2"/>
    <col width="18" customWidth="1" style="78" min="3" max="3"/>
    <col width="3" customWidth="1" style="78" min="4" max="4"/>
    <col width="12" customWidth="1" style="78" min="5" max="5"/>
    <col width="16" customWidth="1" style="78" min="6" max="6"/>
  </cols>
  <sheetData>
    <row r="1" ht="18.55" customHeight="1" s="79">
      <c r="A1" s="85" t="inlineStr">
        <is>
          <t>⚙️ Configurações (confidencial)</t>
        </is>
      </c>
    </row>
    <row r="2" ht="15" customHeight="1" s="79">
      <c r="A2" s="86" t="inlineStr">
        <is>
          <t>Regras de comissão, câmbios e definições. Mudar aqui altera os cálculos sem mexer em fórmulas.</t>
        </is>
      </c>
    </row>
    <row r="3" ht="15" customHeight="1" s="79">
      <c r="A3" s="87" t="inlineStr">
        <is>
          <t>Comissões por funcionário</t>
        </is>
      </c>
      <c r="E3" s="87" t="inlineStr">
        <is>
          <t>Câmbios (→ EUR)</t>
        </is>
      </c>
    </row>
    <row r="4" ht="30" customHeight="1" s="79">
      <c r="A4" s="88" t="inlineStr">
        <is>
          <t>Moeda</t>
        </is>
      </c>
      <c r="B4" s="88" t="inlineStr">
        <is>
          <t>Câmbio p/ EUR</t>
        </is>
      </c>
      <c r="C4" s="89" t="inlineStr">
        <is>
          <t>Base de cálculo</t>
        </is>
      </c>
      <c r="E4" s="90" t="inlineStr">
        <is>
          <t>Moeda</t>
        </is>
      </c>
      <c r="F4" s="90" t="inlineStr">
        <is>
          <t>Câmbio p/ EUR</t>
        </is>
      </c>
    </row>
    <row r="5" ht="15" customHeight="1" s="79">
      <c r="A5" s="91" t="inlineStr">
        <is>
          <t>Sofia</t>
        </is>
      </c>
      <c r="B5" s="92" t="n">
        <v>0.05</v>
      </c>
      <c r="C5" s="93" t="inlineStr">
        <is>
          <t>Margem</t>
        </is>
      </c>
      <c r="E5" s="91" t="inlineStr">
        <is>
          <t>EUR</t>
        </is>
      </c>
      <c r="F5" s="94" t="n">
        <v>1</v>
      </c>
    </row>
    <row r="6" ht="15" customHeight="1" s="79">
      <c r="A6" s="91" t="inlineStr">
        <is>
          <t>Miguel</t>
        </is>
      </c>
      <c r="B6" s="92" t="n">
        <v>0.04</v>
      </c>
      <c r="C6" s="93" t="inlineStr">
        <is>
          <t>Margem</t>
        </is>
      </c>
      <c r="E6" s="91" t="inlineStr">
        <is>
          <t>USD</t>
        </is>
      </c>
      <c r="F6" s="94" t="n">
        <v>0.92</v>
      </c>
    </row>
    <row r="7" ht="15" customHeight="1" s="79">
      <c r="E7" s="91" t="inlineStr">
        <is>
          <t>GBP</t>
        </is>
      </c>
      <c r="F7" s="94" t="n">
        <v>1.17</v>
      </c>
    </row>
    <row r="8" ht="15" customHeight="1" s="79">
      <c r="A8" s="95" t="inlineStr">
        <is>
          <t>Base «Margem» = venda − custo total dos fornecedores.</t>
        </is>
      </c>
      <c r="E8" s="91" t="inlineStr">
        <is>
          <t>BRL</t>
        </is>
      </c>
      <c r="F8" s="94" t="n">
        <v>0.18</v>
      </c>
    </row>
    <row r="10" ht="15" customHeight="1" s="79">
      <c r="E10" s="95" t="inlineStr">
        <is>
          <t>Atualizar à mão quando necessário.</t>
        </is>
      </c>
    </row>
    <row r="11" ht="15" customHeight="1" s="79">
      <c r="A11" s="87" t="inlineStr">
        <is>
          <t>Definições / notas</t>
        </is>
      </c>
    </row>
    <row r="12" ht="15" customHeight="1" s="79">
      <c r="A12" s="96" t="inlineStr">
        <is>
          <t>•  Regime de IVA: confirmar com a contabilista (agências costumam usar o regime de margem).</t>
        </is>
      </c>
    </row>
    <row r="13" ht="15" customHeight="1" s="79">
      <c r="A13" s="96" t="inlineStr">
        <is>
          <t>•  Custos fixos: ver aba «Custos Fixos».  Gastos avulsos: ver aba «Gastos Adicionais».</t>
        </is>
      </c>
    </row>
    <row r="15" ht="15" customHeight="1" s="79">
      <c r="A15" s="97" t="inlineStr">
        <is>
          <t>Integração e período</t>
        </is>
      </c>
      <c r="B15" s="97" t="inlineStr">
        <is>
          <t>Valor</t>
        </is>
      </c>
    </row>
    <row r="16" ht="15" customHeight="1" s="79">
      <c r="A16" s="78" t="inlineStr">
        <is>
          <t>Ano do relatório</t>
        </is>
      </c>
      <c r="B16" s="78" t="n">
        <v>2026</v>
      </c>
    </row>
    <row r="17" ht="15" customHeight="1" s="79">
      <c r="A17" s="78" t="inlineStr">
        <is>
          <t>URL da planilha Operacional</t>
        </is>
      </c>
      <c r="B17" s="78" t="inlineStr">
        <is>
          <t>COLAR_URL_AQUI</t>
        </is>
      </c>
    </row>
    <row r="18" ht="15" customHeight="1" s="79">
      <c r="A18" s="78" t="inlineStr">
        <is>
          <t>Saldo inicial de caixa (€)</t>
        </is>
      </c>
      <c r="B18" s="78" t="n">
        <v>2000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FA7C4"/>
    <outlinePr summaryBelow="1" summaryRight="1"/>
    <pageSetUpPr fitToPage="0"/>
  </sheetPr>
  <dimension ref="A1:AF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8" min="1" max="1"/>
    <col width="11" customWidth="1" style="78" min="2" max="2"/>
    <col width="10" customWidth="1" style="78" min="3" max="3"/>
    <col width="15" customWidth="1" style="78" min="4" max="4"/>
    <col width="10" customWidth="1" style="78" min="5" max="5"/>
    <col width="18" customWidth="1" style="78" min="6" max="6"/>
    <col width="10" customWidth="1" style="78" min="7" max="7"/>
    <col width="14" customWidth="1" style="78" min="8" max="8"/>
    <col width="11" customWidth="1" style="78" min="9" max="10"/>
    <col width="7" customWidth="1" style="78" min="11" max="11"/>
    <col width="15" customWidth="1" style="78" min="12" max="12"/>
    <col width="16" customWidth="1" style="78" min="13" max="13"/>
    <col width="14" customWidth="1" style="78" min="14" max="15"/>
    <col width="13" customWidth="1" style="78" min="16" max="18"/>
    <col width="12" customWidth="1" style="78" min="19" max="19"/>
    <col width="13" customWidth="1" style="78" min="20" max="20"/>
    <col width="15" customWidth="1" style="78" min="21" max="21"/>
    <col width="14" customWidth="1" style="78" min="22" max="22"/>
    <col width="15" customWidth="1" style="78" min="23" max="23"/>
    <col width="13" customWidth="1" style="78" min="24" max="24"/>
    <col width="8" customWidth="1" style="78" min="25" max="25"/>
    <col width="14" customWidth="1" style="78" min="26" max="27"/>
    <col width="22" customWidth="1" style="78" min="28" max="28"/>
    <col width="11" customWidth="1" style="78" min="29" max="29"/>
    <col width="24" customWidth="1" style="78" min="30" max="30"/>
    <col width="13" customWidth="1" style="78" min="31" max="31"/>
    <col width="22" customWidth="1" style="78" min="32" max="32"/>
  </cols>
  <sheetData>
    <row r="1" ht="15" customHeight="1" s="79">
      <c r="A1" s="98" t="inlineStr">
        <is>
          <t>SINCRONIZAÇÃO: em Google Sheets, apaga os exemplos A3:AF e usa em A3: =IMPORTRANGE(Configurações!B17;"Reservas!A2:AF") — depois clica Permitir acesso.</t>
        </is>
      </c>
    </row>
    <row r="2" ht="30" customHeight="1" s="79">
      <c r="A2" s="88" t="inlineStr">
        <is>
          <t>ID Reserva</t>
        </is>
      </c>
      <c r="B2" s="88" t="inlineStr">
        <is>
          <t>Data registo</t>
        </is>
      </c>
      <c r="C2" s="88" t="inlineStr">
        <is>
          <t>ID Cliente</t>
        </is>
      </c>
      <c r="D2" s="88" t="inlineStr">
        <is>
          <t>Cliente</t>
        </is>
      </c>
      <c r="E2" s="88" t="inlineStr">
        <is>
          <t>ID Pacote</t>
        </is>
      </c>
      <c r="F2" s="88" t="inlineStr">
        <is>
          <t>Pacote</t>
        </is>
      </c>
      <c r="G2" s="88" t="inlineStr">
        <is>
          <t>Tipo</t>
        </is>
      </c>
      <c r="H2" s="88" t="inlineStr">
        <is>
          <t>Destino</t>
        </is>
      </c>
      <c r="I2" s="88" t="inlineStr">
        <is>
          <t>Data início</t>
        </is>
      </c>
      <c r="J2" s="88" t="inlineStr">
        <is>
          <t>Data fim</t>
        </is>
      </c>
      <c r="K2" s="88" t="inlineStr">
        <is>
          <t>Nº pax</t>
        </is>
      </c>
      <c r="L2" s="88" t="inlineStr">
        <is>
          <t>Estado</t>
        </is>
      </c>
      <c r="M2" s="88" t="inlineStr">
        <is>
          <t>Estado aprovação</t>
        </is>
      </c>
      <c r="N2" s="88" t="inlineStr">
        <is>
          <t>Custo total (€)</t>
        </is>
      </c>
      <c r="O2" s="88" t="inlineStr">
        <is>
          <t>Valor venda (€)</t>
        </is>
      </c>
      <c r="P2" s="88" t="inlineStr">
        <is>
          <t>Margem (€)</t>
        </is>
      </c>
      <c r="Q2" s="88" t="inlineStr">
        <is>
          <t>Aprovado por</t>
        </is>
      </c>
      <c r="R2" s="88" t="inlineStr">
        <is>
          <t>Tipo pagamento</t>
        </is>
      </c>
      <c r="S2" s="88" t="inlineStr">
        <is>
          <t>Nº prestações</t>
        </is>
      </c>
      <c r="T2" s="88" t="inlineStr">
        <is>
          <t>Prestações pagas</t>
        </is>
      </c>
      <c r="U2" s="88" t="inlineStr">
        <is>
          <t>Valor/prestação (€)</t>
        </is>
      </c>
      <c r="V2" s="88" t="inlineStr">
        <is>
          <t>Valor pago (€)</t>
        </is>
      </c>
      <c r="W2" s="88" t="inlineStr">
        <is>
          <t>Valor pendente (€)</t>
        </is>
      </c>
      <c r="X2" s="88" t="inlineStr">
        <is>
          <t>Prestações em falta</t>
        </is>
      </c>
      <c r="Y2" s="88" t="inlineStr">
        <is>
          <t>% pago</t>
        </is>
      </c>
      <c r="Z2" s="88" t="inlineStr">
        <is>
          <t>Vendedor</t>
        </is>
      </c>
      <c r="AA2" s="88" t="inlineStr">
        <is>
          <t>Criado por</t>
        </is>
      </c>
      <c r="AB2" s="88" t="inlineStr">
        <is>
          <t>Motivo</t>
        </is>
      </c>
      <c r="AC2" s="88" t="inlineStr">
        <is>
          <t>Contactado?</t>
        </is>
      </c>
      <c r="AD2" s="88" t="inlineStr">
        <is>
          <t>Próxima ação</t>
        </is>
      </c>
      <c r="AE2" s="88" t="inlineStr">
        <is>
          <t>Data follow-up</t>
        </is>
      </c>
      <c r="AF2" s="88" t="inlineStr">
        <is>
          <t>Observações</t>
        </is>
      </c>
    </row>
    <row r="3" ht="18.75" customHeight="1" s="79">
      <c r="A3" s="99" t="inlineStr">
        <is>
          <t>R-2026-001</t>
        </is>
      </c>
      <c r="B3" s="100" t="n">
        <v>46063</v>
      </c>
      <c r="C3" s="99" t="inlineStr">
        <is>
          <t>C-001</t>
        </is>
      </c>
      <c r="D3" s="99" t="inlineStr">
        <is>
          <t>João Silva</t>
        </is>
      </c>
      <c r="E3" s="99" t="inlineStr">
        <is>
          <t>P-001</t>
        </is>
      </c>
      <c r="F3" s="99" t="inlineStr">
        <is>
          <t>Réveillon Madeira 2026</t>
        </is>
      </c>
      <c r="G3" s="99" t="inlineStr">
        <is>
          <t>Grupo</t>
        </is>
      </c>
      <c r="H3" s="99" t="inlineStr">
        <is>
          <t>Funchal, Madeira</t>
        </is>
      </c>
      <c r="I3" s="100" t="n">
        <v>46384</v>
      </c>
      <c r="J3" s="100" t="n">
        <v>46388</v>
      </c>
      <c r="K3" s="99" t="n">
        <v>2</v>
      </c>
      <c r="L3" s="99" t="inlineStr">
        <is>
          <t>Confirmada</t>
        </is>
      </c>
      <c r="M3" s="99" t="inlineStr">
        <is>
          <t>Aprovado</t>
        </is>
      </c>
      <c r="N3" s="101" t="n">
        <v>1180</v>
      </c>
      <c r="O3" s="101" t="n">
        <v>1720</v>
      </c>
      <c r="P3" s="101" t="n">
        <v>540</v>
      </c>
      <c r="Q3" s="99" t="inlineStr">
        <is>
          <t>Gestora</t>
        </is>
      </c>
      <c r="R3" s="99" t="inlineStr">
        <is>
          <t>A prestações</t>
        </is>
      </c>
      <c r="S3" s="99" t="n">
        <v>4</v>
      </c>
      <c r="T3" s="99" t="n">
        <v>1</v>
      </c>
      <c r="U3" s="101" t="n">
        <v>430</v>
      </c>
      <c r="V3" s="101" t="n">
        <v>430</v>
      </c>
      <c r="W3" s="101" t="n">
        <v>1290</v>
      </c>
      <c r="X3" s="99" t="n">
        <v>3</v>
      </c>
      <c r="Y3" s="102" t="n">
        <v>0.25</v>
      </c>
      <c r="Z3" s="99" t="inlineStr">
        <is>
          <t>Sofia</t>
        </is>
      </c>
      <c r="AA3" s="99" t="inlineStr">
        <is>
          <t>Sofia</t>
        </is>
      </c>
      <c r="AB3" s="99" t="n"/>
      <c r="AC3" s="99" t="n"/>
      <c r="AD3" s="99" t="n"/>
      <c r="AE3" s="100" t="n"/>
      <c r="AF3" s="99" t="n"/>
    </row>
    <row r="4" ht="18.75" customHeight="1" s="79">
      <c r="A4" s="103" t="inlineStr">
        <is>
          <t>R-2026-002</t>
        </is>
      </c>
      <c r="B4" s="104" t="n">
        <v>46071</v>
      </c>
      <c r="C4" s="103" t="inlineStr">
        <is>
          <t>C-002</t>
        </is>
      </c>
      <c r="D4" s="103" t="inlineStr">
        <is>
          <t>Maria Santos</t>
        </is>
      </c>
      <c r="E4" s="103" t="inlineStr">
        <is>
          <t>P-003</t>
        </is>
      </c>
      <c r="F4" s="103" t="inlineStr">
        <is>
          <t>Lua de Mel Maldivas</t>
        </is>
      </c>
      <c r="G4" s="103" t="inlineStr">
        <is>
          <t>Exclusivo</t>
        </is>
      </c>
      <c r="H4" s="103" t="inlineStr">
        <is>
          <t>Maldivas</t>
        </is>
      </c>
      <c r="I4" s="104" t="n">
        <v>46188</v>
      </c>
      <c r="J4" s="104" t="n">
        <v>46198</v>
      </c>
      <c r="K4" s="103" t="n">
        <v>2</v>
      </c>
      <c r="L4" s="103" t="inlineStr">
        <is>
          <t>Paga</t>
        </is>
      </c>
      <c r="M4" s="103" t="inlineStr">
        <is>
          <t>Aprovado</t>
        </is>
      </c>
      <c r="N4" s="105" t="n">
        <v>6900</v>
      </c>
      <c r="O4" s="105" t="n">
        <v>8400</v>
      </c>
      <c r="P4" s="105" t="n">
        <v>1500</v>
      </c>
      <c r="Q4" s="103" t="inlineStr">
        <is>
          <t>Gestora</t>
        </is>
      </c>
      <c r="R4" s="103" t="inlineStr">
        <is>
          <t>A pronto</t>
        </is>
      </c>
      <c r="S4" s="103" t="n">
        <v>1</v>
      </c>
      <c r="T4" s="103" t="n">
        <v>1</v>
      </c>
      <c r="U4" s="105" t="n">
        <v>8400</v>
      </c>
      <c r="V4" s="105" t="n">
        <v>8400</v>
      </c>
      <c r="W4" s="105" t="n">
        <v>0</v>
      </c>
      <c r="X4" s="103" t="n">
        <v>0</v>
      </c>
      <c r="Y4" s="106" t="n">
        <v>1</v>
      </c>
      <c r="Z4" s="103" t="inlineStr">
        <is>
          <t>Sofia</t>
        </is>
      </c>
      <c r="AA4" s="103" t="inlineStr">
        <is>
          <t>Sofia</t>
        </is>
      </c>
      <c r="AB4" s="103" t="n"/>
      <c r="AC4" s="103" t="n"/>
      <c r="AD4" s="103" t="n"/>
      <c r="AE4" s="104" t="n"/>
      <c r="AF4" s="103" t="n"/>
    </row>
    <row r="5" ht="18.75" customHeight="1" s="79">
      <c r="A5" s="99" t="inlineStr">
        <is>
          <t>R-2026-003</t>
        </is>
      </c>
      <c r="B5" s="100" t="n">
        <v>46083</v>
      </c>
      <c r="C5" s="99" t="inlineStr">
        <is>
          <t>C-003</t>
        </is>
      </c>
      <c r="D5" s="99" t="inlineStr">
        <is>
          <t>Pedro Costa</t>
        </is>
      </c>
      <c r="E5" s="99" t="inlineStr">
        <is>
          <t>P-004</t>
        </is>
      </c>
      <c r="F5" s="99" t="inlineStr">
        <is>
          <t>City Break Roma</t>
        </is>
      </c>
      <c r="G5" s="99" t="inlineStr">
        <is>
          <t>Exclusivo</t>
        </is>
      </c>
      <c r="H5" s="99" t="inlineStr">
        <is>
          <t>Roma, Itália</t>
        </is>
      </c>
      <c r="I5" s="100" t="n">
        <v>46122</v>
      </c>
      <c r="J5" s="100" t="n">
        <v>46126</v>
      </c>
      <c r="K5" s="99" t="n">
        <v>2</v>
      </c>
      <c r="L5" s="99" t="inlineStr">
        <is>
          <t>Concluída</t>
        </is>
      </c>
      <c r="M5" s="99" t="inlineStr">
        <is>
          <t>Aprovado</t>
        </is>
      </c>
      <c r="N5" s="101" t="n">
        <v>890</v>
      </c>
      <c r="O5" s="101" t="n">
        <v>1250</v>
      </c>
      <c r="P5" s="101" t="n">
        <v>360</v>
      </c>
      <c r="Q5" s="99" t="inlineStr">
        <is>
          <t>Gestora</t>
        </is>
      </c>
      <c r="R5" s="99" t="inlineStr">
        <is>
          <t>A pronto</t>
        </is>
      </c>
      <c r="S5" s="99" t="n">
        <v>1</v>
      </c>
      <c r="T5" s="99" t="n">
        <v>1</v>
      </c>
      <c r="U5" s="101" t="n">
        <v>1250</v>
      </c>
      <c r="V5" s="101" t="n">
        <v>1250</v>
      </c>
      <c r="W5" s="101" t="n">
        <v>0</v>
      </c>
      <c r="X5" s="99" t="n">
        <v>0</v>
      </c>
      <c r="Y5" s="102" t="n">
        <v>1</v>
      </c>
      <c r="Z5" s="99" t="inlineStr">
        <is>
          <t>Miguel</t>
        </is>
      </c>
      <c r="AA5" s="99" t="inlineStr">
        <is>
          <t>Miguel</t>
        </is>
      </c>
      <c r="AB5" s="99" t="n"/>
      <c r="AC5" s="99" t="n"/>
      <c r="AD5" s="99" t="n"/>
      <c r="AE5" s="100" t="n"/>
      <c r="AF5" s="99" t="n"/>
    </row>
    <row r="6" ht="18.75" customHeight="1" s="79">
      <c r="A6" s="103" t="inlineStr">
        <is>
          <t>R-2026-004</t>
        </is>
      </c>
      <c r="B6" s="104" t="n">
        <v>46093</v>
      </c>
      <c r="C6" s="103" t="inlineStr">
        <is>
          <t>C-004</t>
        </is>
      </c>
      <c r="D6" s="103" t="inlineStr">
        <is>
          <t>Ana Ferreira</t>
        </is>
      </c>
      <c r="E6" s="103" t="inlineStr">
        <is>
          <t>P-002</t>
        </is>
      </c>
      <c r="F6" s="103" t="inlineStr">
        <is>
          <t>Peregrinação a Fátima</t>
        </is>
      </c>
      <c r="G6" s="103" t="inlineStr">
        <is>
          <t>Grupo</t>
        </is>
      </c>
      <c r="H6" s="103" t="inlineStr">
        <is>
          <t>Fátima</t>
        </is>
      </c>
      <c r="I6" s="104" t="n">
        <v>46154</v>
      </c>
      <c r="J6" s="104" t="n">
        <v>46155</v>
      </c>
      <c r="K6" s="103" t="n">
        <v>1</v>
      </c>
      <c r="L6" s="103" t="inlineStr">
        <is>
          <t>Documentos recebidos</t>
        </is>
      </c>
      <c r="M6" s="103" t="inlineStr">
        <is>
          <t>Aprovado</t>
        </is>
      </c>
      <c r="N6" s="105" t="n">
        <v>95</v>
      </c>
      <c r="O6" s="105" t="n">
        <v>145</v>
      </c>
      <c r="P6" s="105" t="n">
        <v>50</v>
      </c>
      <c r="Q6" s="103" t="inlineStr">
        <is>
          <t>Gestora</t>
        </is>
      </c>
      <c r="R6" s="103" t="inlineStr">
        <is>
          <t>A pronto</t>
        </is>
      </c>
      <c r="S6" s="103" t="n">
        <v>1</v>
      </c>
      <c r="T6" s="103" t="n">
        <v>1</v>
      </c>
      <c r="U6" s="105" t="n">
        <v>145</v>
      </c>
      <c r="V6" s="105" t="n">
        <v>145</v>
      </c>
      <c r="W6" s="105" t="n">
        <v>0</v>
      </c>
      <c r="X6" s="103" t="n">
        <v>0</v>
      </c>
      <c r="Y6" s="106" t="n">
        <v>1</v>
      </c>
      <c r="Z6" s="103" t="inlineStr">
        <is>
          <t>Miguel</t>
        </is>
      </c>
      <c r="AA6" s="103" t="inlineStr">
        <is>
          <t>Miguel</t>
        </is>
      </c>
      <c r="AB6" s="103" t="n"/>
      <c r="AC6" s="103" t="n"/>
      <c r="AD6" s="103" t="n"/>
      <c r="AE6" s="104" t="n"/>
      <c r="AF6" s="103" t="n"/>
    </row>
    <row r="7" ht="18.75" customHeight="1" s="79">
      <c r="A7" s="99" t="inlineStr">
        <is>
          <t>R-2026-005</t>
        </is>
      </c>
      <c r="B7" s="100" t="n">
        <v>46101</v>
      </c>
      <c r="C7" s="99" t="inlineStr">
        <is>
          <t>C-005</t>
        </is>
      </c>
      <c r="D7" s="99" t="inlineStr">
        <is>
          <t>Rui Almeida</t>
        </is>
      </c>
      <c r="E7" s="99" t="inlineStr">
        <is>
          <t>P-005</t>
        </is>
      </c>
      <c r="F7" s="99" t="inlineStr">
        <is>
          <t>Safari Tanzânia</t>
        </is>
      </c>
      <c r="G7" s="99" t="inlineStr">
        <is>
          <t>Exclusivo</t>
        </is>
      </c>
      <c r="H7" s="99" t="inlineStr">
        <is>
          <t>Tanzânia</t>
        </is>
      </c>
      <c r="I7" s="100" t="n">
        <v>46239</v>
      </c>
      <c r="J7" s="100" t="n">
        <v>46249</v>
      </c>
      <c r="K7" s="99" t="n">
        <v>4</v>
      </c>
      <c r="L7" s="99" t="inlineStr">
        <is>
          <t>Confirmada</t>
        </is>
      </c>
      <c r="M7" s="99" t="inlineStr">
        <is>
          <t>Aprovado</t>
        </is>
      </c>
      <c r="N7" s="101" t="n">
        <v>12800</v>
      </c>
      <c r="O7" s="101" t="n">
        <v>15600</v>
      </c>
      <c r="P7" s="101" t="n">
        <v>2800</v>
      </c>
      <c r="Q7" s="99" t="inlineStr">
        <is>
          <t>Gestora</t>
        </is>
      </c>
      <c r="R7" s="99" t="inlineStr">
        <is>
          <t>A prestações</t>
        </is>
      </c>
      <c r="S7" s="99" t="n">
        <v>6</v>
      </c>
      <c r="T7" s="99" t="n">
        <v>2</v>
      </c>
      <c r="U7" s="101" t="n">
        <v>2600</v>
      </c>
      <c r="V7" s="101" t="n">
        <v>5200</v>
      </c>
      <c r="W7" s="101" t="n">
        <v>10400</v>
      </c>
      <c r="X7" s="99" t="n">
        <v>4</v>
      </c>
      <c r="Y7" s="102" t="n">
        <v>0.333333333333333</v>
      </c>
      <c r="Z7" s="99" t="inlineStr">
        <is>
          <t>Sofia</t>
        </is>
      </c>
      <c r="AA7" s="99" t="inlineStr">
        <is>
          <t>Sofia</t>
        </is>
      </c>
      <c r="AB7" s="99" t="n"/>
      <c r="AC7" s="99" t="n"/>
      <c r="AD7" s="99" t="n"/>
      <c r="AE7" s="100" t="n"/>
      <c r="AF7" s="99" t="inlineStr">
        <is>
          <t>Grupo de 4</t>
        </is>
      </c>
    </row>
    <row r="8" ht="18.75" customHeight="1" s="79">
      <c r="A8" s="103" t="inlineStr">
        <is>
          <t>R-2026-006</t>
        </is>
      </c>
      <c r="B8" s="104" t="n">
        <v>46113</v>
      </c>
      <c r="C8" s="103" t="inlineStr">
        <is>
          <t>C-001</t>
        </is>
      </c>
      <c r="D8" s="103" t="inlineStr">
        <is>
          <t>João Silva</t>
        </is>
      </c>
      <c r="E8" s="103" t="inlineStr">
        <is>
          <t>P-001</t>
        </is>
      </c>
      <c r="F8" s="103" t="inlineStr">
        <is>
          <t>Réveillon Madeira 2026</t>
        </is>
      </c>
      <c r="G8" s="103" t="inlineStr">
        <is>
          <t>Grupo</t>
        </is>
      </c>
      <c r="H8" s="103" t="inlineStr">
        <is>
          <t>Funchal, Madeira</t>
        </is>
      </c>
      <c r="I8" s="104" t="n">
        <v>46384</v>
      </c>
      <c r="J8" s="104" t="n">
        <v>46388</v>
      </c>
      <c r="K8" s="103" t="n">
        <v>3</v>
      </c>
      <c r="L8" s="103" t="inlineStr">
        <is>
          <t>Em orçamento</t>
        </is>
      </c>
      <c r="M8" s="103" t="inlineStr">
        <is>
          <t>Aguarda aprovação</t>
        </is>
      </c>
      <c r="N8" s="105" t="n">
        <v>1620</v>
      </c>
      <c r="O8" s="105" t="n"/>
      <c r="P8" s="105" t="n"/>
      <c r="Q8" s="103" t="n"/>
      <c r="R8" s="103" t="inlineStr">
        <is>
          <t>A prestações</t>
        </is>
      </c>
      <c r="S8" s="103" t="n">
        <v>3</v>
      </c>
      <c r="T8" s="103" t="n">
        <v>0</v>
      </c>
      <c r="U8" s="105" t="n"/>
      <c r="V8" s="105" t="n"/>
      <c r="W8" s="105" t="n"/>
      <c r="X8" s="103" t="n">
        <v>3</v>
      </c>
      <c r="Y8" s="106" t="n"/>
      <c r="Z8" s="103" t="inlineStr">
        <is>
          <t>Sofia</t>
        </is>
      </c>
      <c r="AA8" s="103" t="inlineStr">
        <is>
          <t>Sofia</t>
        </is>
      </c>
      <c r="AB8" s="103" t="n"/>
      <c r="AC8" s="103" t="inlineStr">
        <is>
          <t>Não</t>
        </is>
      </c>
      <c r="AD8" s="103" t="inlineStr">
        <is>
          <t>Enviar proposta ao cliente</t>
        </is>
      </c>
      <c r="AE8" s="104" t="n">
        <v>46218</v>
      </c>
      <c r="AF8" s="103" t="inlineStr">
        <is>
          <t>Aguarda custos dos fornecedores</t>
        </is>
      </c>
    </row>
    <row r="9" ht="18.75" customHeight="1" s="79">
      <c r="A9" s="99" t="inlineStr">
        <is>
          <t>R-2026-007</t>
        </is>
      </c>
      <c r="B9" s="100" t="n">
        <v>46117</v>
      </c>
      <c r="C9" s="99" t="inlineStr">
        <is>
          <t>C-002</t>
        </is>
      </c>
      <c r="D9" s="99" t="inlineStr">
        <is>
          <t>Maria Santos</t>
        </is>
      </c>
      <c r="E9" s="99" t="inlineStr">
        <is>
          <t>P-004</t>
        </is>
      </c>
      <c r="F9" s="99" t="inlineStr">
        <is>
          <t>City Break Roma</t>
        </is>
      </c>
      <c r="G9" s="99" t="inlineStr">
        <is>
          <t>Exclusivo</t>
        </is>
      </c>
      <c r="H9" s="99" t="inlineStr">
        <is>
          <t>Roma, Itália</t>
        </is>
      </c>
      <c r="I9" s="100" t="n">
        <v>46275</v>
      </c>
      <c r="J9" s="100" t="n">
        <v>46279</v>
      </c>
      <c r="K9" s="99" t="n">
        <v>2</v>
      </c>
      <c r="L9" s="99" t="inlineStr">
        <is>
          <t>Cancelada</t>
        </is>
      </c>
      <c r="M9" s="99" t="inlineStr">
        <is>
          <t>Recusado</t>
        </is>
      </c>
      <c r="N9" s="101" t="n">
        <v>0</v>
      </c>
      <c r="O9" s="101" t="n"/>
      <c r="P9" s="101" t="n"/>
      <c r="Q9" s="99" t="n"/>
      <c r="R9" s="99" t="inlineStr">
        <is>
          <t>A pronto</t>
        </is>
      </c>
      <c r="S9" s="99" t="n">
        <v>1</v>
      </c>
      <c r="T9" s="99" t="n">
        <v>0</v>
      </c>
      <c r="U9" s="101" t="n"/>
      <c r="V9" s="101" t="n"/>
      <c r="W9" s="101" t="n"/>
      <c r="X9" s="99" t="n">
        <v>1</v>
      </c>
      <c r="Y9" s="102" t="n"/>
      <c r="Z9" s="99" t="inlineStr">
        <is>
          <t>Miguel</t>
        </is>
      </c>
      <c r="AA9" s="99" t="inlineStr">
        <is>
          <t>Miguel</t>
        </is>
      </c>
      <c r="AB9" s="99" t="inlineStr">
        <is>
          <t>Preço acima do orçamento do cliente</t>
        </is>
      </c>
      <c r="AC9" s="99" t="inlineStr">
        <is>
          <t>Sim</t>
        </is>
      </c>
      <c r="AD9" s="99" t="inlineStr">
        <is>
          <t>Reenviar proposta mais económica em setembro</t>
        </is>
      </c>
      <c r="AE9" s="100" t="n">
        <v>46266</v>
      </c>
      <c r="AF9" s="99" t="inlineStr">
        <is>
          <t>Cliente quer alternativa mais barata</t>
        </is>
      </c>
    </row>
  </sheetData>
  <mergeCells count="1">
    <mergeCell ref="A1:A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2A93B"/>
    <outlinePr summaryBelow="1" summaryRight="1"/>
    <pageSetUpPr fitToPage="0"/>
  </sheetPr>
  <dimension ref="A1:K100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8" min="1" max="1"/>
    <col width="12" customWidth="1" style="78" min="2" max="2"/>
    <col width="14" customWidth="1" style="78" min="3" max="3"/>
    <col width="15" customWidth="1" style="78" min="4" max="5"/>
    <col width="10" customWidth="1" style="78" min="6" max="6"/>
    <col width="8" customWidth="1" style="78" min="7" max="7"/>
    <col width="14" customWidth="1" style="78" min="8" max="8"/>
    <col width="16" customWidth="1" style="78" min="10" max="10"/>
    <col width="14" customWidth="1" style="78" min="11" max="11"/>
  </cols>
  <sheetData>
    <row r="1" ht="18.55" customHeight="1" s="79">
      <c r="A1" s="85" t="inlineStr">
        <is>
          <t>💼 Comissões (confidencial)</t>
        </is>
      </c>
    </row>
    <row r="3" ht="15" customHeight="1" s="79">
      <c r="A3" s="107" t="inlineStr">
        <is>
          <t>Regras (taxas) definidas na aba «Configurações».</t>
        </is>
      </c>
    </row>
    <row r="9" ht="15" customHeight="1" s="79">
      <c r="A9" s="87" t="inlineStr">
        <is>
          <t>Cálculo por reserva (puxa de «Importar Reservas»)</t>
        </is>
      </c>
    </row>
    <row r="10" ht="30" customHeight="1" s="79">
      <c r="A10" s="108" t="inlineStr">
        <is>
          <t>ID Reserva</t>
        </is>
      </c>
      <c r="B10" s="108" t="inlineStr">
        <is>
          <t>Data</t>
        </is>
      </c>
      <c r="C10" s="108" t="inlineStr">
        <is>
          <t>Funcionário</t>
        </is>
      </c>
      <c r="D10" s="108" t="inlineStr">
        <is>
          <t>Valor venda (€)</t>
        </is>
      </c>
      <c r="E10" s="108" t="inlineStr">
        <is>
          <t>Custo total (€)</t>
        </is>
      </c>
      <c r="F10" s="108" t="inlineStr">
        <is>
          <t>Base</t>
        </is>
      </c>
      <c r="G10" s="108" t="inlineStr">
        <is>
          <t>Taxa</t>
        </is>
      </c>
      <c r="H10" s="108" t="inlineStr">
        <is>
          <t>Comissão (€)</t>
        </is>
      </c>
      <c r="J10" s="87" t="inlineStr">
        <is>
          <t>Funcionário</t>
        </is>
      </c>
      <c r="K10" s="78" t="inlineStr">
        <is>
          <t>Comissão (€)</t>
        </is>
      </c>
    </row>
    <row r="11" ht="15" customHeight="1" s="79">
      <c r="A11" s="91">
        <f>IF('Importar Reservas'!A3="","",'Importar Reservas'!A3)</f>
        <v/>
      </c>
      <c r="B11" s="109">
        <f>IF($A11="","",'Importar Reservas'!B3)</f>
        <v/>
      </c>
      <c r="C11" s="91">
        <f>IF($A11="","",'Importar Reservas'!Z3)</f>
        <v/>
      </c>
      <c r="D11" s="110">
        <f>IF($A11="","",IF('Importar Reservas'!O3="",0,'Importar Reservas'!O3))</f>
        <v/>
      </c>
      <c r="E11" s="110">
        <f>IF($A11="","",IF('Importar Reservas'!N3="",0,'Importar Reservas'!N3))</f>
        <v/>
      </c>
      <c r="F11" s="91">
        <f>IF($A11="","",IFERROR(INDEX(Configurações!$C$5:$C$100,MATCH($C11,Configurações!$A$5:$A$100,0)),"Margem"))</f>
        <v/>
      </c>
      <c r="G11" s="111">
        <f>IF($A11="","",IFERROR(INDEX(Configurações!$B$5:$B$100,MATCH($C11,Configurações!$A$5:$A$100,0)),0))</f>
        <v/>
      </c>
      <c r="H11" s="110">
        <f>IF(OR($A11="",'Importar Reservas'!M3&lt;&gt;"Aprovado",$D11&lt;=0),"",MAX(0,IF($F11="Margem",$D11-$E11,$D11))*$G11)</f>
        <v/>
      </c>
      <c r="J11" s="112">
        <f>IFERROR(_xlfn.unique(_xlfn._xlws.filter(C11:C1009,C11:C1009&lt;&gt;"")),"")</f>
        <v/>
      </c>
      <c r="K11" s="112">
        <f>IF(J11="","",SUMIF(C:C,J11,H:H))</f>
        <v/>
      </c>
    </row>
    <row r="12" ht="15" customHeight="1" s="79">
      <c r="A12" s="91">
        <f>IF('Importar Reservas'!A4="","",'Importar Reservas'!A4)</f>
        <v/>
      </c>
      <c r="B12" s="109">
        <f>IF($A12="","",'Importar Reservas'!B4)</f>
        <v/>
      </c>
      <c r="C12" s="91">
        <f>IF($A12="","",'Importar Reservas'!Z4)</f>
        <v/>
      </c>
      <c r="D12" s="110">
        <f>IF($A12="","",IF('Importar Reservas'!O4="",0,'Importar Reservas'!O4))</f>
        <v/>
      </c>
      <c r="E12" s="110">
        <f>IF($A12="","",IF('Importar Reservas'!N4="",0,'Importar Reservas'!N4))</f>
        <v/>
      </c>
      <c r="F12" s="91">
        <f>IF($A12="","",IFERROR(INDEX(Configurações!$C$5:$C$100,MATCH($C12,Configurações!$A$5:$A$100,0)),"Margem"))</f>
        <v/>
      </c>
      <c r="G12" s="111">
        <f>IF($A12="","",IFERROR(INDEX(Configurações!$B$5:$B$100,MATCH($C12,Configurações!$A$5:$A$100,0)),0))</f>
        <v/>
      </c>
      <c r="H12" s="110">
        <f>IF(OR($A12="",'Importar Reservas'!M4&lt;&gt;"Aprovado",$D12&lt;=0),"",MAX(0,IF($F12="Margem",$D12-$E12,$D12))*$G12)</f>
        <v/>
      </c>
      <c r="J12" s="91" t="n"/>
      <c r="K12" s="113">
        <f>IF(J12="","",SUMIF(C:C,J12,H:H))</f>
        <v/>
      </c>
    </row>
    <row r="13" ht="15" customHeight="1" s="79">
      <c r="A13" s="91">
        <f>IF('Importar Reservas'!A5="","",'Importar Reservas'!A5)</f>
        <v/>
      </c>
      <c r="B13" s="109">
        <f>IF($A13="","",'Importar Reservas'!B5)</f>
        <v/>
      </c>
      <c r="C13" s="91">
        <f>IF($A13="","",'Importar Reservas'!Z5)</f>
        <v/>
      </c>
      <c r="D13" s="110">
        <f>IF($A13="","",IF('Importar Reservas'!O5="",0,'Importar Reservas'!O5))</f>
        <v/>
      </c>
      <c r="E13" s="110">
        <f>IF($A13="","",IF('Importar Reservas'!N5="",0,'Importar Reservas'!N5))</f>
        <v/>
      </c>
      <c r="F13" s="91">
        <f>IF($A13="","",IFERROR(INDEX(Configurações!$C$5:$C$100,MATCH($C13,Configurações!$A$5:$A$100,0)),"Margem"))</f>
        <v/>
      </c>
      <c r="G13" s="111">
        <f>IF($A13="","",IFERROR(INDEX(Configurações!$B$5:$B$100,MATCH($C13,Configurações!$A$5:$A$100,0)),0))</f>
        <v/>
      </c>
      <c r="H13" s="110">
        <f>IF(OR($A13="",'Importar Reservas'!M5&lt;&gt;"Aprovado",$D13&lt;=0),"",MAX(0,IF($F13="Margem",$D13-$E13,$D13))*$G13)</f>
        <v/>
      </c>
      <c r="J13" s="91" t="n"/>
      <c r="K13" s="113">
        <f>IF(J13="","",SUMIF(C:C,J13,H:H))</f>
        <v/>
      </c>
    </row>
    <row r="14" ht="15" customHeight="1" s="79">
      <c r="A14" s="91">
        <f>IF('Importar Reservas'!A6="","",'Importar Reservas'!A6)</f>
        <v/>
      </c>
      <c r="B14" s="109">
        <f>IF($A14="","",'Importar Reservas'!B6)</f>
        <v/>
      </c>
      <c r="C14" s="91">
        <f>IF($A14="","",'Importar Reservas'!Z6)</f>
        <v/>
      </c>
      <c r="D14" s="110">
        <f>IF($A14="","",IF('Importar Reservas'!O6="",0,'Importar Reservas'!O6))</f>
        <v/>
      </c>
      <c r="E14" s="110">
        <f>IF($A14="","",IF('Importar Reservas'!N6="",0,'Importar Reservas'!N6))</f>
        <v/>
      </c>
      <c r="F14" s="91">
        <f>IF($A14="","",IFERROR(INDEX(Configurações!$C$5:$C$100,MATCH($C14,Configurações!$A$5:$A$100,0)),"Margem"))</f>
        <v/>
      </c>
      <c r="G14" s="111">
        <f>IF($A14="","",IFERROR(INDEX(Configurações!$B$5:$B$100,MATCH($C14,Configurações!$A$5:$A$100,0)),0))</f>
        <v/>
      </c>
      <c r="H14" s="110">
        <f>IF(OR($A14="",'Importar Reservas'!M6&lt;&gt;"Aprovado",$D14&lt;=0),"",MAX(0,IF($F14="Margem",$D14-$E14,$D14))*$G14)</f>
        <v/>
      </c>
      <c r="J14" s="114" t="n"/>
      <c r="K14" s="115">
        <f>IF(J14="","",SUMIF(C:C,J14,H:H))</f>
        <v/>
      </c>
    </row>
    <row r="15" ht="15" customHeight="1" s="79">
      <c r="A15" s="91">
        <f>IF('Importar Reservas'!A7="","",'Importar Reservas'!A7)</f>
        <v/>
      </c>
      <c r="B15" s="109">
        <f>IF($A15="","",'Importar Reservas'!B7)</f>
        <v/>
      </c>
      <c r="C15" s="91">
        <f>IF($A15="","",'Importar Reservas'!Z7)</f>
        <v/>
      </c>
      <c r="D15" s="110">
        <f>IF($A15="","",IF('Importar Reservas'!O7="",0,'Importar Reservas'!O7))</f>
        <v/>
      </c>
      <c r="E15" s="110">
        <f>IF($A15="","",IF('Importar Reservas'!N7="",0,'Importar Reservas'!N7))</f>
        <v/>
      </c>
      <c r="F15" s="91">
        <f>IF($A15="","",IFERROR(INDEX(Configurações!$C$5:$C$100,MATCH($C15,Configurações!$A$5:$A$100,0)),"Margem"))</f>
        <v/>
      </c>
      <c r="G15" s="111">
        <f>IF($A15="","",IFERROR(INDEX(Configurações!$B$5:$B$100,MATCH($C15,Configurações!$A$5:$A$100,0)),0))</f>
        <v/>
      </c>
      <c r="H15" s="110">
        <f>IF(OR($A15="",'Importar Reservas'!M7&lt;&gt;"Aprovado",$D15&lt;=0),"",MAX(0,IF($F15="Margem",$D15-$E15,$D15))*$G15)</f>
        <v/>
      </c>
      <c r="K15" s="78">
        <f>IF(J15="","",SUMIF(C:C,J15,H:H))</f>
        <v/>
      </c>
    </row>
    <row r="16" ht="15" customHeight="1" s="79">
      <c r="A16" s="91">
        <f>IF('Importar Reservas'!A8="","",'Importar Reservas'!A8)</f>
        <v/>
      </c>
      <c r="B16" s="109">
        <f>IF($A16="","",'Importar Reservas'!B8)</f>
        <v/>
      </c>
      <c r="C16" s="91">
        <f>IF($A16="","",'Importar Reservas'!Z8)</f>
        <v/>
      </c>
      <c r="D16" s="110">
        <f>IF($A16="","",IF('Importar Reservas'!O8="",0,'Importar Reservas'!O8))</f>
        <v/>
      </c>
      <c r="E16" s="110">
        <f>IF($A16="","",IF('Importar Reservas'!N8="",0,'Importar Reservas'!N8))</f>
        <v/>
      </c>
      <c r="F16" s="91">
        <f>IF($A16="","",IFERROR(INDEX(Configurações!$C$5:$C$100,MATCH($C16,Configurações!$A$5:$A$100,0)),"Margem"))</f>
        <v/>
      </c>
      <c r="G16" s="111">
        <f>IF($A16="","",IFERROR(INDEX(Configurações!$B$5:$B$100,MATCH($C16,Configurações!$A$5:$A$100,0)),0))</f>
        <v/>
      </c>
      <c r="H16" s="110">
        <f>IF(OR($A16="",'Importar Reservas'!M8&lt;&gt;"Aprovado",$D16&lt;=0),"",MAX(0,IF($F16="Margem",$D16-$E16,$D16))*$G16)</f>
        <v/>
      </c>
      <c r="K16" s="78">
        <f>IF(J16="","",SUMIF(C:C,J16,H:H))</f>
        <v/>
      </c>
    </row>
    <row r="17" ht="15" customHeight="1" s="79">
      <c r="A17" s="91">
        <f>IF('Importar Reservas'!A9="","",'Importar Reservas'!A9)</f>
        <v/>
      </c>
      <c r="B17" s="109">
        <f>IF($A17="","",'Importar Reservas'!B9)</f>
        <v/>
      </c>
      <c r="C17" s="91">
        <f>IF($A17="","",'Importar Reservas'!Z9)</f>
        <v/>
      </c>
      <c r="D17" s="110">
        <f>IF($A17="","",IF('Importar Reservas'!O9="",0,'Importar Reservas'!O9))</f>
        <v/>
      </c>
      <c r="E17" s="110">
        <f>IF($A17="","",IF('Importar Reservas'!N9="",0,'Importar Reservas'!N9))</f>
        <v/>
      </c>
      <c r="F17" s="91">
        <f>IF($A17="","",IFERROR(INDEX(Configurações!$C$5:$C$100,MATCH($C17,Configurações!$A$5:$A$100,0)),"Margem"))</f>
        <v/>
      </c>
      <c r="G17" s="111">
        <f>IF($A17="","",IFERROR(INDEX(Configurações!$B$5:$B$100,MATCH($C17,Configurações!$A$5:$A$100,0)),0))</f>
        <v/>
      </c>
      <c r="H17" s="110">
        <f>IF(OR($A17="",'Importar Reservas'!M9&lt;&gt;"Aprovado",$D17&lt;=0),"",MAX(0,IF($F17="Margem",$D17-$E17,$D17))*$G17)</f>
        <v/>
      </c>
      <c r="K17" s="78">
        <f>IF(J17="","",SUMIF(C:C,J17,H:H))</f>
        <v/>
      </c>
    </row>
    <row r="18" ht="15" customHeight="1" s="79">
      <c r="A18" s="91">
        <f>IF('Importar Reservas'!A10="","",'Importar Reservas'!A10)</f>
        <v/>
      </c>
      <c r="B18" s="109">
        <f>IF($A18="","",'Importar Reservas'!B10)</f>
        <v/>
      </c>
      <c r="C18" s="91">
        <f>IF($A18="","",'Importar Reservas'!Z10)</f>
        <v/>
      </c>
      <c r="D18" s="110">
        <f>IF($A18="","",IF('Importar Reservas'!O10="",0,'Importar Reservas'!O10))</f>
        <v/>
      </c>
      <c r="E18" s="110">
        <f>IF($A18="","",IF('Importar Reservas'!N10="",0,'Importar Reservas'!N10))</f>
        <v/>
      </c>
      <c r="F18" s="91">
        <f>IF($A18="","",IFERROR(INDEX(Configurações!$C$5:$C$100,MATCH($C18,Configurações!$A$5:$A$100,0)),"Margem"))</f>
        <v/>
      </c>
      <c r="G18" s="111">
        <f>IF($A18="","",IFERROR(INDEX(Configurações!$B$5:$B$100,MATCH($C18,Configurações!$A$5:$A$100,0)),0))</f>
        <v/>
      </c>
      <c r="H18" s="110">
        <f>IF(OR($A18="",'Importar Reservas'!M10&lt;&gt;"Aprovado",$D18&lt;=0),"",MAX(0,IF($F18="Margem",$D18-$E18,$D18))*$G18)</f>
        <v/>
      </c>
      <c r="K18" s="78">
        <f>IF(J18="","",SUMIF(C:C,J18,H:H))</f>
        <v/>
      </c>
    </row>
    <row r="19" ht="15" customHeight="1" s="79">
      <c r="A19" s="91">
        <f>IF('Importar Reservas'!A11="","",'Importar Reservas'!A11)</f>
        <v/>
      </c>
      <c r="B19" s="109">
        <f>IF($A19="","",'Importar Reservas'!B11)</f>
        <v/>
      </c>
      <c r="C19" s="91">
        <f>IF($A19="","",'Importar Reservas'!Z11)</f>
        <v/>
      </c>
      <c r="D19" s="110">
        <f>IF($A19="","",IF('Importar Reservas'!O11="",0,'Importar Reservas'!O11))</f>
        <v/>
      </c>
      <c r="E19" s="110">
        <f>IF($A19="","",IF('Importar Reservas'!N11="",0,'Importar Reservas'!N11))</f>
        <v/>
      </c>
      <c r="F19" s="91">
        <f>IF($A19="","",IFERROR(INDEX(Configurações!$C$5:$C$100,MATCH($C19,Configurações!$A$5:$A$100,0)),"Margem"))</f>
        <v/>
      </c>
      <c r="G19" s="111">
        <f>IF($A19="","",IFERROR(INDEX(Configurações!$B$5:$B$100,MATCH($C19,Configurações!$A$5:$A$100,0)),0))</f>
        <v/>
      </c>
      <c r="H19" s="110">
        <f>IF(OR($A19="",'Importar Reservas'!M11&lt;&gt;"Aprovado",$D19&lt;=0),"",MAX(0,IF($F19="Margem",$D19-$E19,$D19))*$G19)</f>
        <v/>
      </c>
      <c r="K19" s="78">
        <f>IF(J19="","",SUMIF(C:C,J19,H:H))</f>
        <v/>
      </c>
    </row>
    <row r="20" ht="15" customHeight="1" s="79">
      <c r="A20" s="91">
        <f>IF('Importar Reservas'!A12="","",'Importar Reservas'!A12)</f>
        <v/>
      </c>
      <c r="B20" s="109">
        <f>IF($A20="","",'Importar Reservas'!B12)</f>
        <v/>
      </c>
      <c r="C20" s="91">
        <f>IF($A20="","",'Importar Reservas'!Z12)</f>
        <v/>
      </c>
      <c r="D20" s="110">
        <f>IF($A20="","",IF('Importar Reservas'!O12="",0,'Importar Reservas'!O12))</f>
        <v/>
      </c>
      <c r="E20" s="110">
        <f>IF($A20="","",IF('Importar Reservas'!N12="",0,'Importar Reservas'!N12))</f>
        <v/>
      </c>
      <c r="F20" s="91">
        <f>IF($A20="","",IFERROR(INDEX(Configurações!$C$5:$C$100,MATCH($C20,Configurações!$A$5:$A$100,0)),"Margem"))</f>
        <v/>
      </c>
      <c r="G20" s="111">
        <f>IF($A20="","",IFERROR(INDEX(Configurações!$B$5:$B$100,MATCH($C20,Configurações!$A$5:$A$100,0)),0))</f>
        <v/>
      </c>
      <c r="H20" s="110">
        <f>IF(OR($A20="",'Importar Reservas'!M12&lt;&gt;"Aprovado",$D20&lt;=0),"",MAX(0,IF($F20="Margem",$D20-$E20,$D20))*$G20)</f>
        <v/>
      </c>
      <c r="K20" s="78">
        <f>IF(J20="","",SUMIF(C:C,J20,H:H))</f>
        <v/>
      </c>
    </row>
    <row r="21" ht="15" customHeight="1" s="79">
      <c r="A21" s="91">
        <f>IF('Importar Reservas'!A13="","",'Importar Reservas'!A13)</f>
        <v/>
      </c>
      <c r="B21" s="109">
        <f>IF($A21="","",'Importar Reservas'!B13)</f>
        <v/>
      </c>
      <c r="C21" s="91">
        <f>IF($A21="","",'Importar Reservas'!Z13)</f>
        <v/>
      </c>
      <c r="D21" s="110">
        <f>IF($A21="","",IF('Importar Reservas'!O13="",0,'Importar Reservas'!O13))</f>
        <v/>
      </c>
      <c r="E21" s="110">
        <f>IF($A21="","",IF('Importar Reservas'!N13="",0,'Importar Reservas'!N13))</f>
        <v/>
      </c>
      <c r="F21" s="91">
        <f>IF($A21="","",IFERROR(INDEX(Configurações!$C$5:$C$100,MATCH($C21,Configurações!$A$5:$A$100,0)),"Margem"))</f>
        <v/>
      </c>
      <c r="G21" s="111">
        <f>IF($A21="","",IFERROR(INDEX(Configurações!$B$5:$B$100,MATCH($C21,Configurações!$A$5:$A$100,0)),0))</f>
        <v/>
      </c>
      <c r="H21" s="110">
        <f>IF(OR($A21="",'Importar Reservas'!M13&lt;&gt;"Aprovado",$D21&lt;=0),"",MAX(0,IF($F21="Margem",$D21-$E21,$D21))*$G21)</f>
        <v/>
      </c>
      <c r="K21" s="78">
        <f>IF(J21="","",SUMIF(C:C,J21,H:H))</f>
        <v/>
      </c>
    </row>
    <row r="22" ht="15" customHeight="1" s="79">
      <c r="A22" s="91">
        <f>IF('Importar Reservas'!A14="","",'Importar Reservas'!A14)</f>
        <v/>
      </c>
      <c r="B22" s="109">
        <f>IF($A22="","",'Importar Reservas'!B14)</f>
        <v/>
      </c>
      <c r="C22" s="91">
        <f>IF($A22="","",'Importar Reservas'!Z14)</f>
        <v/>
      </c>
      <c r="D22" s="110">
        <f>IF($A22="","",IF('Importar Reservas'!O14="",0,'Importar Reservas'!O14))</f>
        <v/>
      </c>
      <c r="E22" s="110">
        <f>IF($A22="","",IF('Importar Reservas'!N14="",0,'Importar Reservas'!N14))</f>
        <v/>
      </c>
      <c r="F22" s="91">
        <f>IF($A22="","",IFERROR(INDEX(Configurações!$C$5:$C$100,MATCH($C22,Configurações!$A$5:$A$100,0)),"Margem"))</f>
        <v/>
      </c>
      <c r="G22" s="111">
        <f>IF($A22="","",IFERROR(INDEX(Configurações!$B$5:$B$100,MATCH($C22,Configurações!$A$5:$A$100,0)),0))</f>
        <v/>
      </c>
      <c r="H22" s="110">
        <f>IF(OR($A22="",'Importar Reservas'!M14&lt;&gt;"Aprovado",$D22&lt;=0),"",MAX(0,IF($F22="Margem",$D22-$E22,$D22))*$G22)</f>
        <v/>
      </c>
      <c r="K22" s="78">
        <f>IF(J22="","",SUMIF(C:C,J22,H:H))</f>
        <v/>
      </c>
    </row>
    <row r="23" ht="15" customHeight="1" s="79">
      <c r="A23" s="91">
        <f>IF('Importar Reservas'!A15="","",'Importar Reservas'!A15)</f>
        <v/>
      </c>
      <c r="B23" s="109">
        <f>IF($A23="","",'Importar Reservas'!B15)</f>
        <v/>
      </c>
      <c r="C23" s="91">
        <f>IF($A23="","",'Importar Reservas'!Z15)</f>
        <v/>
      </c>
      <c r="D23" s="110">
        <f>IF($A23="","",IF('Importar Reservas'!O15="",0,'Importar Reservas'!O15))</f>
        <v/>
      </c>
      <c r="E23" s="110">
        <f>IF($A23="","",IF('Importar Reservas'!N15="",0,'Importar Reservas'!N15))</f>
        <v/>
      </c>
      <c r="F23" s="91">
        <f>IF($A23="","",IFERROR(INDEX(Configurações!$C$5:$C$100,MATCH($C23,Configurações!$A$5:$A$100,0)),"Margem"))</f>
        <v/>
      </c>
      <c r="G23" s="111">
        <f>IF($A23="","",IFERROR(INDEX(Configurações!$B$5:$B$100,MATCH($C23,Configurações!$A$5:$A$100,0)),0))</f>
        <v/>
      </c>
      <c r="H23" s="110">
        <f>IF(OR($A23="",'Importar Reservas'!M15&lt;&gt;"Aprovado",$D23&lt;=0),"",MAX(0,IF($F23="Margem",$D23-$E23,$D23))*$G23)</f>
        <v/>
      </c>
      <c r="K23" s="78">
        <f>IF(J23="","",SUMIF(C:C,J23,H:H))</f>
        <v/>
      </c>
    </row>
    <row r="24" ht="15" customHeight="1" s="79">
      <c r="A24" s="91">
        <f>IF('Importar Reservas'!A16="","",'Importar Reservas'!A16)</f>
        <v/>
      </c>
      <c r="B24" s="109">
        <f>IF($A24="","",'Importar Reservas'!B16)</f>
        <v/>
      </c>
      <c r="C24" s="91">
        <f>IF($A24="","",'Importar Reservas'!Z16)</f>
        <v/>
      </c>
      <c r="D24" s="110">
        <f>IF($A24="","",IF('Importar Reservas'!O16="",0,'Importar Reservas'!O16))</f>
        <v/>
      </c>
      <c r="E24" s="110">
        <f>IF($A24="","",IF('Importar Reservas'!N16="",0,'Importar Reservas'!N16))</f>
        <v/>
      </c>
      <c r="F24" s="91">
        <f>IF($A24="","",IFERROR(INDEX(Configurações!$C$5:$C$100,MATCH($C24,Configurações!$A$5:$A$100,0)),"Margem"))</f>
        <v/>
      </c>
      <c r="G24" s="111">
        <f>IF($A24="","",IFERROR(INDEX(Configurações!$B$5:$B$100,MATCH($C24,Configurações!$A$5:$A$100,0)),0))</f>
        <v/>
      </c>
      <c r="H24" s="110">
        <f>IF(OR($A24="",'Importar Reservas'!M16&lt;&gt;"Aprovado",$D24&lt;=0),"",MAX(0,IF($F24="Margem",$D24-$E24,$D24))*$G24)</f>
        <v/>
      </c>
      <c r="K24" s="78">
        <f>IF(J24="","",SUMIF(C:C,J24,H:H))</f>
        <v/>
      </c>
    </row>
    <row r="25" ht="15" customHeight="1" s="79">
      <c r="A25" s="91">
        <f>IF('Importar Reservas'!A17="","",'Importar Reservas'!A17)</f>
        <v/>
      </c>
      <c r="B25" s="109">
        <f>IF($A25="","",'Importar Reservas'!B17)</f>
        <v/>
      </c>
      <c r="C25" s="91">
        <f>IF($A25="","",'Importar Reservas'!Z17)</f>
        <v/>
      </c>
      <c r="D25" s="110">
        <f>IF($A25="","",IF('Importar Reservas'!O17="",0,'Importar Reservas'!O17))</f>
        <v/>
      </c>
      <c r="E25" s="110">
        <f>IF($A25="","",IF('Importar Reservas'!N17="",0,'Importar Reservas'!N17))</f>
        <v/>
      </c>
      <c r="F25" s="91">
        <f>IF($A25="","",IFERROR(INDEX(Configurações!$C$5:$C$100,MATCH($C25,Configurações!$A$5:$A$100,0)),"Margem"))</f>
        <v/>
      </c>
      <c r="G25" s="111">
        <f>IF($A25="","",IFERROR(INDEX(Configurações!$B$5:$B$100,MATCH($C25,Configurações!$A$5:$A$100,0)),0))</f>
        <v/>
      </c>
      <c r="H25" s="110">
        <f>IF(OR($A25="",'Importar Reservas'!M17&lt;&gt;"Aprovado",$D25&lt;=0),"",MAX(0,IF($F25="Margem",$D25-$E25,$D25))*$G25)</f>
        <v/>
      </c>
      <c r="K25" s="78">
        <f>IF(J25="","",SUMIF(C:C,J25,H:H))</f>
        <v/>
      </c>
    </row>
    <row r="26" ht="15" customHeight="1" s="79">
      <c r="A26" s="91">
        <f>IF('Importar Reservas'!A18="","",'Importar Reservas'!A18)</f>
        <v/>
      </c>
      <c r="B26" s="109">
        <f>IF($A26="","",'Importar Reservas'!B18)</f>
        <v/>
      </c>
      <c r="C26" s="91">
        <f>IF($A26="","",'Importar Reservas'!Z18)</f>
        <v/>
      </c>
      <c r="D26" s="110">
        <f>IF($A26="","",IF('Importar Reservas'!O18="",0,'Importar Reservas'!O18))</f>
        <v/>
      </c>
      <c r="E26" s="110">
        <f>IF($A26="","",IF('Importar Reservas'!N18="",0,'Importar Reservas'!N18))</f>
        <v/>
      </c>
      <c r="F26" s="91">
        <f>IF($A26="","",IFERROR(INDEX(Configurações!$C$5:$C$100,MATCH($C26,Configurações!$A$5:$A$100,0)),"Margem"))</f>
        <v/>
      </c>
      <c r="G26" s="111">
        <f>IF($A26="","",IFERROR(INDEX(Configurações!$B$5:$B$100,MATCH($C26,Configurações!$A$5:$A$100,0)),0))</f>
        <v/>
      </c>
      <c r="H26" s="110">
        <f>IF(OR($A26="",'Importar Reservas'!M18&lt;&gt;"Aprovado",$D26&lt;=0),"",MAX(0,IF($F26="Margem",$D26-$E26,$D26))*$G26)</f>
        <v/>
      </c>
      <c r="K26" s="78">
        <f>IF(J26="","",SUMIF(C:C,J26,H:H))</f>
        <v/>
      </c>
    </row>
    <row r="27" ht="15" customHeight="1" s="79">
      <c r="A27" s="91">
        <f>IF('Importar Reservas'!A19="","",'Importar Reservas'!A19)</f>
        <v/>
      </c>
      <c r="B27" s="109">
        <f>IF($A27="","",'Importar Reservas'!B19)</f>
        <v/>
      </c>
      <c r="C27" s="91">
        <f>IF($A27="","",'Importar Reservas'!Z19)</f>
        <v/>
      </c>
      <c r="D27" s="110">
        <f>IF($A27="","",IF('Importar Reservas'!O19="",0,'Importar Reservas'!O19))</f>
        <v/>
      </c>
      <c r="E27" s="110">
        <f>IF($A27="","",IF('Importar Reservas'!N19="",0,'Importar Reservas'!N19))</f>
        <v/>
      </c>
      <c r="F27" s="91">
        <f>IF($A27="","",IFERROR(INDEX(Configurações!$C$5:$C$100,MATCH($C27,Configurações!$A$5:$A$100,0)),"Margem"))</f>
        <v/>
      </c>
      <c r="G27" s="111">
        <f>IF($A27="","",IFERROR(INDEX(Configurações!$B$5:$B$100,MATCH($C27,Configurações!$A$5:$A$100,0)),0))</f>
        <v/>
      </c>
      <c r="H27" s="110">
        <f>IF(OR($A27="",'Importar Reservas'!M19&lt;&gt;"Aprovado",$D27&lt;=0),"",MAX(0,IF($F27="Margem",$D27-$E27,$D27))*$G27)</f>
        <v/>
      </c>
      <c r="K27" s="78">
        <f>IF(J27="","",SUMIF(C:C,J27,H:H))</f>
        <v/>
      </c>
    </row>
    <row r="28" ht="15" customHeight="1" s="79">
      <c r="A28" s="91">
        <f>IF('Importar Reservas'!A20="","",'Importar Reservas'!A20)</f>
        <v/>
      </c>
      <c r="B28" s="109">
        <f>IF($A28="","",'Importar Reservas'!B20)</f>
        <v/>
      </c>
      <c r="C28" s="91">
        <f>IF($A28="","",'Importar Reservas'!Z20)</f>
        <v/>
      </c>
      <c r="D28" s="110">
        <f>IF($A28="","",IF('Importar Reservas'!O20="",0,'Importar Reservas'!O20))</f>
        <v/>
      </c>
      <c r="E28" s="110">
        <f>IF($A28="","",IF('Importar Reservas'!N20="",0,'Importar Reservas'!N20))</f>
        <v/>
      </c>
      <c r="F28" s="91">
        <f>IF($A28="","",IFERROR(INDEX(Configurações!$C$5:$C$100,MATCH($C28,Configurações!$A$5:$A$100,0)),"Margem"))</f>
        <v/>
      </c>
      <c r="G28" s="111">
        <f>IF($A28="","",IFERROR(INDEX(Configurações!$B$5:$B$100,MATCH($C28,Configurações!$A$5:$A$100,0)),0))</f>
        <v/>
      </c>
      <c r="H28" s="110">
        <f>IF(OR($A28="",'Importar Reservas'!M20&lt;&gt;"Aprovado",$D28&lt;=0),"",MAX(0,IF($F28="Margem",$D28-$E28,$D28))*$G28)</f>
        <v/>
      </c>
      <c r="K28" s="78">
        <f>IF(J28="","",SUMIF(C:C,J28,H:H))</f>
        <v/>
      </c>
    </row>
    <row r="29" ht="15" customHeight="1" s="79">
      <c r="A29" s="91">
        <f>IF('Importar Reservas'!A21="","",'Importar Reservas'!A21)</f>
        <v/>
      </c>
      <c r="B29" s="109">
        <f>IF($A29="","",'Importar Reservas'!B21)</f>
        <v/>
      </c>
      <c r="C29" s="91">
        <f>IF($A29="","",'Importar Reservas'!Z21)</f>
        <v/>
      </c>
      <c r="D29" s="110">
        <f>IF($A29="","",IF('Importar Reservas'!O21="",0,'Importar Reservas'!O21))</f>
        <v/>
      </c>
      <c r="E29" s="110">
        <f>IF($A29="","",IF('Importar Reservas'!N21="",0,'Importar Reservas'!N21))</f>
        <v/>
      </c>
      <c r="F29" s="91">
        <f>IF($A29="","",IFERROR(INDEX(Configurações!$C$5:$C$100,MATCH($C29,Configurações!$A$5:$A$100,0)),"Margem"))</f>
        <v/>
      </c>
      <c r="G29" s="111">
        <f>IF($A29="","",IFERROR(INDEX(Configurações!$B$5:$B$100,MATCH($C29,Configurações!$A$5:$A$100,0)),0))</f>
        <v/>
      </c>
      <c r="H29" s="110">
        <f>IF(OR($A29="",'Importar Reservas'!M21&lt;&gt;"Aprovado",$D29&lt;=0),"",MAX(0,IF($F29="Margem",$D29-$E29,$D29))*$G29)</f>
        <v/>
      </c>
      <c r="K29" s="78">
        <f>IF(J29="","",SUMIF(C:C,J29,H:H))</f>
        <v/>
      </c>
    </row>
    <row r="30" ht="15" customHeight="1" s="79">
      <c r="A30" s="91">
        <f>IF('Importar Reservas'!A22="","",'Importar Reservas'!A22)</f>
        <v/>
      </c>
      <c r="B30" s="109">
        <f>IF($A30="","",'Importar Reservas'!B22)</f>
        <v/>
      </c>
      <c r="C30" s="91">
        <f>IF($A30="","",'Importar Reservas'!Z22)</f>
        <v/>
      </c>
      <c r="D30" s="110">
        <f>IF($A30="","",IF('Importar Reservas'!O22="",0,'Importar Reservas'!O22))</f>
        <v/>
      </c>
      <c r="E30" s="110">
        <f>IF($A30="","",IF('Importar Reservas'!N22="",0,'Importar Reservas'!N22))</f>
        <v/>
      </c>
      <c r="F30" s="91">
        <f>IF($A30="","",IFERROR(INDEX(Configurações!$C$5:$C$100,MATCH($C30,Configurações!$A$5:$A$100,0)),"Margem"))</f>
        <v/>
      </c>
      <c r="G30" s="111">
        <f>IF($A30="","",IFERROR(INDEX(Configurações!$B$5:$B$100,MATCH($C30,Configurações!$A$5:$A$100,0)),0))</f>
        <v/>
      </c>
      <c r="H30" s="110">
        <f>IF(OR($A30="",'Importar Reservas'!M22&lt;&gt;"Aprovado",$D30&lt;=0),"",MAX(0,IF($F30="Margem",$D30-$E30,$D30))*$G30)</f>
        <v/>
      </c>
      <c r="K30" s="78">
        <f>IF(J30="","",SUMIF(C:C,J30,H:H))</f>
        <v/>
      </c>
    </row>
    <row r="31" ht="15" customHeight="1" s="79">
      <c r="A31" s="91">
        <f>IF('Importar Reservas'!A23="","",'Importar Reservas'!A23)</f>
        <v/>
      </c>
      <c r="B31" s="109">
        <f>IF($A31="","",'Importar Reservas'!B23)</f>
        <v/>
      </c>
      <c r="C31" s="91">
        <f>IF($A31="","",'Importar Reservas'!Z23)</f>
        <v/>
      </c>
      <c r="D31" s="110">
        <f>IF($A31="","",IF('Importar Reservas'!O23="",0,'Importar Reservas'!O23))</f>
        <v/>
      </c>
      <c r="E31" s="110">
        <f>IF($A31="","",IF('Importar Reservas'!N23="",0,'Importar Reservas'!N23))</f>
        <v/>
      </c>
      <c r="F31" s="91">
        <f>IF($A31="","",IFERROR(INDEX(Configurações!$C$5:$C$100,MATCH($C31,Configurações!$A$5:$A$100,0)),"Margem"))</f>
        <v/>
      </c>
      <c r="G31" s="111">
        <f>IF($A31="","",IFERROR(INDEX(Configurações!$B$5:$B$100,MATCH($C31,Configurações!$A$5:$A$100,0)),0))</f>
        <v/>
      </c>
      <c r="H31" s="110">
        <f>IF(OR($A31="",'Importar Reservas'!M23&lt;&gt;"Aprovado",$D31&lt;=0),"",MAX(0,IF($F31="Margem",$D31-$E31,$D31))*$G31)</f>
        <v/>
      </c>
      <c r="K31" s="78">
        <f>IF(J31="","",SUMIF(C:C,J31,H:H))</f>
        <v/>
      </c>
    </row>
    <row r="32" ht="15" customHeight="1" s="79">
      <c r="A32" s="91">
        <f>IF('Importar Reservas'!A24="","",'Importar Reservas'!A24)</f>
        <v/>
      </c>
      <c r="B32" s="109">
        <f>IF($A32="","",'Importar Reservas'!B24)</f>
        <v/>
      </c>
      <c r="C32" s="91">
        <f>IF($A32="","",'Importar Reservas'!Z24)</f>
        <v/>
      </c>
      <c r="D32" s="110">
        <f>IF($A32="","",IF('Importar Reservas'!O24="",0,'Importar Reservas'!O24))</f>
        <v/>
      </c>
      <c r="E32" s="110">
        <f>IF($A32="","",IF('Importar Reservas'!N24="",0,'Importar Reservas'!N24))</f>
        <v/>
      </c>
      <c r="F32" s="91">
        <f>IF($A32="","",IFERROR(INDEX(Configurações!$C$5:$C$100,MATCH($C32,Configurações!$A$5:$A$100,0)),"Margem"))</f>
        <v/>
      </c>
      <c r="G32" s="111">
        <f>IF($A32="","",IFERROR(INDEX(Configurações!$B$5:$B$100,MATCH($C32,Configurações!$A$5:$A$100,0)),0))</f>
        <v/>
      </c>
      <c r="H32" s="110">
        <f>IF(OR($A32="",'Importar Reservas'!M24&lt;&gt;"Aprovado",$D32&lt;=0),"",MAX(0,IF($F32="Margem",$D32-$E32,$D32))*$G32)</f>
        <v/>
      </c>
      <c r="K32" s="78">
        <f>IF(J32="","",SUMIF(C:C,J32,H:H))</f>
        <v/>
      </c>
    </row>
    <row r="33" ht="15" customHeight="1" s="79">
      <c r="A33" s="91">
        <f>IF('Importar Reservas'!A25="","",'Importar Reservas'!A25)</f>
        <v/>
      </c>
      <c r="B33" s="109">
        <f>IF($A33="","",'Importar Reservas'!B25)</f>
        <v/>
      </c>
      <c r="C33" s="91">
        <f>IF($A33="","",'Importar Reservas'!Z25)</f>
        <v/>
      </c>
      <c r="D33" s="110">
        <f>IF($A33="","",IF('Importar Reservas'!O25="",0,'Importar Reservas'!O25))</f>
        <v/>
      </c>
      <c r="E33" s="110">
        <f>IF($A33="","",IF('Importar Reservas'!N25="",0,'Importar Reservas'!N25))</f>
        <v/>
      </c>
      <c r="F33" s="91">
        <f>IF($A33="","",IFERROR(INDEX(Configurações!$C$5:$C$100,MATCH($C33,Configurações!$A$5:$A$100,0)),"Margem"))</f>
        <v/>
      </c>
      <c r="G33" s="111">
        <f>IF($A33="","",IFERROR(INDEX(Configurações!$B$5:$B$100,MATCH($C33,Configurações!$A$5:$A$100,0)),0))</f>
        <v/>
      </c>
      <c r="H33" s="110">
        <f>IF(OR($A33="",'Importar Reservas'!M25&lt;&gt;"Aprovado",$D33&lt;=0),"",MAX(0,IF($F33="Margem",$D33-$E33,$D33))*$G33)</f>
        <v/>
      </c>
      <c r="K33" s="78">
        <f>IF(J33="","",SUMIF(C:C,J33,H:H))</f>
        <v/>
      </c>
    </row>
    <row r="34" ht="15" customHeight="1" s="79">
      <c r="A34" s="91">
        <f>IF('Importar Reservas'!A26="","",'Importar Reservas'!A26)</f>
        <v/>
      </c>
      <c r="B34" s="109">
        <f>IF($A34="","",'Importar Reservas'!B26)</f>
        <v/>
      </c>
      <c r="C34" s="91">
        <f>IF($A34="","",'Importar Reservas'!Z26)</f>
        <v/>
      </c>
      <c r="D34" s="110">
        <f>IF($A34="","",IF('Importar Reservas'!O26="",0,'Importar Reservas'!O26))</f>
        <v/>
      </c>
      <c r="E34" s="110">
        <f>IF($A34="","",IF('Importar Reservas'!N26="",0,'Importar Reservas'!N26))</f>
        <v/>
      </c>
      <c r="F34" s="91">
        <f>IF($A34="","",IFERROR(INDEX(Configurações!$C$5:$C$100,MATCH($C34,Configurações!$A$5:$A$100,0)),"Margem"))</f>
        <v/>
      </c>
      <c r="G34" s="111">
        <f>IF($A34="","",IFERROR(INDEX(Configurações!$B$5:$B$100,MATCH($C34,Configurações!$A$5:$A$100,0)),0))</f>
        <v/>
      </c>
      <c r="H34" s="110">
        <f>IF(OR($A34="",'Importar Reservas'!M26&lt;&gt;"Aprovado",$D34&lt;=0),"",MAX(0,IF($F34="Margem",$D34-$E34,$D34))*$G34)</f>
        <v/>
      </c>
      <c r="K34" s="78">
        <f>IF(J34="","",SUMIF(C:C,J34,H:H))</f>
        <v/>
      </c>
    </row>
    <row r="35" ht="15" customHeight="1" s="79">
      <c r="A35" s="91">
        <f>IF('Importar Reservas'!A27="","",'Importar Reservas'!A27)</f>
        <v/>
      </c>
      <c r="B35" s="109">
        <f>IF($A35="","",'Importar Reservas'!B27)</f>
        <v/>
      </c>
      <c r="C35" s="91">
        <f>IF($A35="","",'Importar Reservas'!Z27)</f>
        <v/>
      </c>
      <c r="D35" s="110">
        <f>IF($A35="","",IF('Importar Reservas'!O27="",0,'Importar Reservas'!O27))</f>
        <v/>
      </c>
      <c r="E35" s="110">
        <f>IF($A35="","",IF('Importar Reservas'!N27="",0,'Importar Reservas'!N27))</f>
        <v/>
      </c>
      <c r="F35" s="91">
        <f>IF($A35="","",IFERROR(INDEX(Configurações!$C$5:$C$100,MATCH($C35,Configurações!$A$5:$A$100,0)),"Margem"))</f>
        <v/>
      </c>
      <c r="G35" s="111">
        <f>IF($A35="","",IFERROR(INDEX(Configurações!$B$5:$B$100,MATCH($C35,Configurações!$A$5:$A$100,0)),0))</f>
        <v/>
      </c>
      <c r="H35" s="110">
        <f>IF(OR($A35="",'Importar Reservas'!M27&lt;&gt;"Aprovado",$D35&lt;=0),"",MAX(0,IF($F35="Margem",$D35-$E35,$D35))*$G35)</f>
        <v/>
      </c>
      <c r="K35" s="78">
        <f>IF(J35="","",SUMIF(C:C,J35,H:H))</f>
        <v/>
      </c>
    </row>
    <row r="36" ht="15" customHeight="1" s="79">
      <c r="A36" s="91">
        <f>IF('Importar Reservas'!A28="","",'Importar Reservas'!A28)</f>
        <v/>
      </c>
      <c r="B36" s="109">
        <f>IF($A36="","",'Importar Reservas'!B28)</f>
        <v/>
      </c>
      <c r="C36" s="91">
        <f>IF($A36="","",'Importar Reservas'!Z28)</f>
        <v/>
      </c>
      <c r="D36" s="110">
        <f>IF($A36="","",IF('Importar Reservas'!O28="",0,'Importar Reservas'!O28))</f>
        <v/>
      </c>
      <c r="E36" s="110">
        <f>IF($A36="","",IF('Importar Reservas'!N28="",0,'Importar Reservas'!N28))</f>
        <v/>
      </c>
      <c r="F36" s="91">
        <f>IF($A36="","",IFERROR(INDEX(Configurações!$C$5:$C$100,MATCH($C36,Configurações!$A$5:$A$100,0)),"Margem"))</f>
        <v/>
      </c>
      <c r="G36" s="111">
        <f>IF($A36="","",IFERROR(INDEX(Configurações!$B$5:$B$100,MATCH($C36,Configurações!$A$5:$A$100,0)),0))</f>
        <v/>
      </c>
      <c r="H36" s="110">
        <f>IF(OR($A36="",'Importar Reservas'!M28&lt;&gt;"Aprovado",$D36&lt;=0),"",MAX(0,IF($F36="Margem",$D36-$E36,$D36))*$G36)</f>
        <v/>
      </c>
      <c r="K36" s="78">
        <f>IF(J36="","",SUMIF(C:C,J36,H:H))</f>
        <v/>
      </c>
    </row>
    <row r="37" ht="15" customHeight="1" s="79">
      <c r="A37" s="91">
        <f>IF('Importar Reservas'!A29="","",'Importar Reservas'!A29)</f>
        <v/>
      </c>
      <c r="B37" s="109">
        <f>IF($A37="","",'Importar Reservas'!B29)</f>
        <v/>
      </c>
      <c r="C37" s="91">
        <f>IF($A37="","",'Importar Reservas'!Z29)</f>
        <v/>
      </c>
      <c r="D37" s="110">
        <f>IF($A37="","",IF('Importar Reservas'!O29="",0,'Importar Reservas'!O29))</f>
        <v/>
      </c>
      <c r="E37" s="110">
        <f>IF($A37="","",IF('Importar Reservas'!N29="",0,'Importar Reservas'!N29))</f>
        <v/>
      </c>
      <c r="F37" s="91">
        <f>IF($A37="","",IFERROR(INDEX(Configurações!$C$5:$C$100,MATCH($C37,Configurações!$A$5:$A$100,0)),"Margem"))</f>
        <v/>
      </c>
      <c r="G37" s="111">
        <f>IF($A37="","",IFERROR(INDEX(Configurações!$B$5:$B$100,MATCH($C37,Configurações!$A$5:$A$100,0)),0))</f>
        <v/>
      </c>
      <c r="H37" s="110">
        <f>IF(OR($A37="",'Importar Reservas'!M29&lt;&gt;"Aprovado",$D37&lt;=0),"",MAX(0,IF($F37="Margem",$D37-$E37,$D37))*$G37)</f>
        <v/>
      </c>
      <c r="K37" s="78">
        <f>IF(J37="","",SUMIF(C:C,J37,H:H))</f>
        <v/>
      </c>
    </row>
    <row r="38" ht="15" customHeight="1" s="79">
      <c r="A38" s="91">
        <f>IF('Importar Reservas'!A30="","",'Importar Reservas'!A30)</f>
        <v/>
      </c>
      <c r="B38" s="109">
        <f>IF($A38="","",'Importar Reservas'!B30)</f>
        <v/>
      </c>
      <c r="C38" s="91">
        <f>IF($A38="","",'Importar Reservas'!Z30)</f>
        <v/>
      </c>
      <c r="D38" s="110">
        <f>IF($A38="","",IF('Importar Reservas'!O30="",0,'Importar Reservas'!O30))</f>
        <v/>
      </c>
      <c r="E38" s="110">
        <f>IF($A38="","",IF('Importar Reservas'!N30="",0,'Importar Reservas'!N30))</f>
        <v/>
      </c>
      <c r="F38" s="91">
        <f>IF($A38="","",IFERROR(INDEX(Configurações!$C$5:$C$100,MATCH($C38,Configurações!$A$5:$A$100,0)),"Margem"))</f>
        <v/>
      </c>
      <c r="G38" s="111">
        <f>IF($A38="","",IFERROR(INDEX(Configurações!$B$5:$B$100,MATCH($C38,Configurações!$A$5:$A$100,0)),0))</f>
        <v/>
      </c>
      <c r="H38" s="110">
        <f>IF(OR($A38="",'Importar Reservas'!M30&lt;&gt;"Aprovado",$D38&lt;=0),"",MAX(0,IF($F38="Margem",$D38-$E38,$D38))*$G38)</f>
        <v/>
      </c>
      <c r="K38" s="78">
        <f>IF(J38="","",SUMIF(C:C,J38,H:H))</f>
        <v/>
      </c>
    </row>
    <row r="39" ht="15" customHeight="1" s="79">
      <c r="A39" s="91">
        <f>IF('Importar Reservas'!A31="","",'Importar Reservas'!A31)</f>
        <v/>
      </c>
      <c r="B39" s="109">
        <f>IF($A39="","",'Importar Reservas'!B31)</f>
        <v/>
      </c>
      <c r="C39" s="91">
        <f>IF($A39="","",'Importar Reservas'!Z31)</f>
        <v/>
      </c>
      <c r="D39" s="110">
        <f>IF($A39="","",IF('Importar Reservas'!O31="",0,'Importar Reservas'!O31))</f>
        <v/>
      </c>
      <c r="E39" s="110">
        <f>IF($A39="","",IF('Importar Reservas'!N31="",0,'Importar Reservas'!N31))</f>
        <v/>
      </c>
      <c r="F39" s="91">
        <f>IF($A39="","",IFERROR(INDEX(Configurações!$C$5:$C$100,MATCH($C39,Configurações!$A$5:$A$100,0)),"Margem"))</f>
        <v/>
      </c>
      <c r="G39" s="111">
        <f>IF($A39="","",IFERROR(INDEX(Configurações!$B$5:$B$100,MATCH($C39,Configurações!$A$5:$A$100,0)),0))</f>
        <v/>
      </c>
      <c r="H39" s="110">
        <f>IF(OR($A39="",'Importar Reservas'!M31&lt;&gt;"Aprovado",$D39&lt;=0),"",MAX(0,IF($F39="Margem",$D39-$E39,$D39))*$G39)</f>
        <v/>
      </c>
      <c r="K39" s="78">
        <f>IF(J39="","",SUMIF(C:C,J39,H:H))</f>
        <v/>
      </c>
    </row>
    <row r="40" ht="15" customHeight="1" s="79">
      <c r="A40" s="91">
        <f>IF('Importar Reservas'!A32="","",'Importar Reservas'!A32)</f>
        <v/>
      </c>
      <c r="B40" s="109">
        <f>IF($A40="","",'Importar Reservas'!B32)</f>
        <v/>
      </c>
      <c r="C40" s="91">
        <f>IF($A40="","",'Importar Reservas'!Z32)</f>
        <v/>
      </c>
      <c r="D40" s="110">
        <f>IF($A40="","",IF('Importar Reservas'!O32="",0,'Importar Reservas'!O32))</f>
        <v/>
      </c>
      <c r="E40" s="110">
        <f>IF($A40="","",IF('Importar Reservas'!N32="",0,'Importar Reservas'!N32))</f>
        <v/>
      </c>
      <c r="F40" s="91">
        <f>IF($A40="","",IFERROR(INDEX(Configurações!$C$5:$C$100,MATCH($C40,Configurações!$A$5:$A$100,0)),"Margem"))</f>
        <v/>
      </c>
      <c r="G40" s="111">
        <f>IF($A40="","",IFERROR(INDEX(Configurações!$B$5:$B$100,MATCH($C40,Configurações!$A$5:$A$100,0)),0))</f>
        <v/>
      </c>
      <c r="H40" s="110">
        <f>IF(OR($A40="",'Importar Reservas'!M32&lt;&gt;"Aprovado",$D40&lt;=0),"",MAX(0,IF($F40="Margem",$D40-$E40,$D40))*$G40)</f>
        <v/>
      </c>
      <c r="K40" s="78">
        <f>IF(J40="","",SUMIF(C:C,J40,H:H))</f>
        <v/>
      </c>
    </row>
    <row r="41" ht="15" customHeight="1" s="79">
      <c r="A41" s="91">
        <f>IF('Importar Reservas'!A33="","",'Importar Reservas'!A33)</f>
        <v/>
      </c>
      <c r="B41" s="109">
        <f>IF($A41="","",'Importar Reservas'!B33)</f>
        <v/>
      </c>
      <c r="C41" s="91">
        <f>IF($A41="","",'Importar Reservas'!Z33)</f>
        <v/>
      </c>
      <c r="D41" s="110">
        <f>IF($A41="","",IF('Importar Reservas'!O33="",0,'Importar Reservas'!O33))</f>
        <v/>
      </c>
      <c r="E41" s="110">
        <f>IF($A41="","",IF('Importar Reservas'!N33="",0,'Importar Reservas'!N33))</f>
        <v/>
      </c>
      <c r="F41" s="91">
        <f>IF($A41="","",IFERROR(INDEX(Configurações!$C$5:$C$100,MATCH($C41,Configurações!$A$5:$A$100,0)),"Margem"))</f>
        <v/>
      </c>
      <c r="G41" s="111">
        <f>IF($A41="","",IFERROR(INDEX(Configurações!$B$5:$B$100,MATCH($C41,Configurações!$A$5:$A$100,0)),0))</f>
        <v/>
      </c>
      <c r="H41" s="110">
        <f>IF(OR($A41="",'Importar Reservas'!M33&lt;&gt;"Aprovado",$D41&lt;=0),"",MAX(0,IF($F41="Margem",$D41-$E41,$D41))*$G41)</f>
        <v/>
      </c>
      <c r="K41" s="78">
        <f>IF(J41="","",SUMIF(C:C,J41,H:H))</f>
        <v/>
      </c>
    </row>
    <row r="42" ht="15" customHeight="1" s="79">
      <c r="A42" s="91">
        <f>IF('Importar Reservas'!A34="","",'Importar Reservas'!A34)</f>
        <v/>
      </c>
      <c r="B42" s="109">
        <f>IF($A42="","",'Importar Reservas'!B34)</f>
        <v/>
      </c>
      <c r="C42" s="91">
        <f>IF($A42="","",'Importar Reservas'!Z34)</f>
        <v/>
      </c>
      <c r="D42" s="110">
        <f>IF($A42="","",IF('Importar Reservas'!O34="",0,'Importar Reservas'!O34))</f>
        <v/>
      </c>
      <c r="E42" s="110">
        <f>IF($A42="","",IF('Importar Reservas'!N34="",0,'Importar Reservas'!N34))</f>
        <v/>
      </c>
      <c r="F42" s="91">
        <f>IF($A42="","",IFERROR(INDEX(Configurações!$C$5:$C$100,MATCH($C42,Configurações!$A$5:$A$100,0)),"Margem"))</f>
        <v/>
      </c>
      <c r="G42" s="111">
        <f>IF($A42="","",IFERROR(INDEX(Configurações!$B$5:$B$100,MATCH($C42,Configurações!$A$5:$A$100,0)),0))</f>
        <v/>
      </c>
      <c r="H42" s="110">
        <f>IF(OR($A42="",'Importar Reservas'!M34&lt;&gt;"Aprovado",$D42&lt;=0),"",MAX(0,IF($F42="Margem",$D42-$E42,$D42))*$G42)</f>
        <v/>
      </c>
      <c r="K42" s="78">
        <f>IF(J42="","",SUMIF(C:C,J42,H:H))</f>
        <v/>
      </c>
    </row>
    <row r="43" ht="15" customHeight="1" s="79">
      <c r="A43" s="91">
        <f>IF('Importar Reservas'!A35="","",'Importar Reservas'!A35)</f>
        <v/>
      </c>
      <c r="B43" s="109">
        <f>IF($A43="","",'Importar Reservas'!B35)</f>
        <v/>
      </c>
      <c r="C43" s="91">
        <f>IF($A43="","",'Importar Reservas'!Z35)</f>
        <v/>
      </c>
      <c r="D43" s="110">
        <f>IF($A43="","",IF('Importar Reservas'!O35="",0,'Importar Reservas'!O35))</f>
        <v/>
      </c>
      <c r="E43" s="110">
        <f>IF($A43="","",IF('Importar Reservas'!N35="",0,'Importar Reservas'!N35))</f>
        <v/>
      </c>
      <c r="F43" s="91">
        <f>IF($A43="","",IFERROR(INDEX(Configurações!$C$5:$C$100,MATCH($C43,Configurações!$A$5:$A$100,0)),"Margem"))</f>
        <v/>
      </c>
      <c r="G43" s="111">
        <f>IF($A43="","",IFERROR(INDEX(Configurações!$B$5:$B$100,MATCH($C43,Configurações!$A$5:$A$100,0)),0))</f>
        <v/>
      </c>
      <c r="H43" s="110">
        <f>IF(OR($A43="",'Importar Reservas'!M35&lt;&gt;"Aprovado",$D43&lt;=0),"",MAX(0,IF($F43="Margem",$D43-$E43,$D43))*$G43)</f>
        <v/>
      </c>
      <c r="K43" s="78">
        <f>IF(J43="","",SUMIF(C:C,J43,H:H))</f>
        <v/>
      </c>
    </row>
    <row r="44" ht="15" customHeight="1" s="79">
      <c r="A44" s="91">
        <f>IF('Importar Reservas'!A36="","",'Importar Reservas'!A36)</f>
        <v/>
      </c>
      <c r="B44" s="109">
        <f>IF($A44="","",'Importar Reservas'!B36)</f>
        <v/>
      </c>
      <c r="C44" s="91">
        <f>IF($A44="","",'Importar Reservas'!Z36)</f>
        <v/>
      </c>
      <c r="D44" s="110">
        <f>IF($A44="","",IF('Importar Reservas'!O36="",0,'Importar Reservas'!O36))</f>
        <v/>
      </c>
      <c r="E44" s="110">
        <f>IF($A44="","",IF('Importar Reservas'!N36="",0,'Importar Reservas'!N36))</f>
        <v/>
      </c>
      <c r="F44" s="91">
        <f>IF($A44="","",IFERROR(INDEX(Configurações!$C$5:$C$100,MATCH($C44,Configurações!$A$5:$A$100,0)),"Margem"))</f>
        <v/>
      </c>
      <c r="G44" s="111">
        <f>IF($A44="","",IFERROR(INDEX(Configurações!$B$5:$B$100,MATCH($C44,Configurações!$A$5:$A$100,0)),0))</f>
        <v/>
      </c>
      <c r="H44" s="110">
        <f>IF(OR($A44="",'Importar Reservas'!M36&lt;&gt;"Aprovado",$D44&lt;=0),"",MAX(0,IF($F44="Margem",$D44-$E44,$D44))*$G44)</f>
        <v/>
      </c>
      <c r="K44" s="78">
        <f>IF(J44="","",SUMIF(C:C,J44,H:H))</f>
        <v/>
      </c>
    </row>
    <row r="45" ht="15" customHeight="1" s="79">
      <c r="A45" s="91">
        <f>IF('Importar Reservas'!A37="","",'Importar Reservas'!A37)</f>
        <v/>
      </c>
      <c r="B45" s="109">
        <f>IF($A45="","",'Importar Reservas'!B37)</f>
        <v/>
      </c>
      <c r="C45" s="91">
        <f>IF($A45="","",'Importar Reservas'!Z37)</f>
        <v/>
      </c>
      <c r="D45" s="110">
        <f>IF($A45="","",IF('Importar Reservas'!O37="",0,'Importar Reservas'!O37))</f>
        <v/>
      </c>
      <c r="E45" s="110">
        <f>IF($A45="","",IF('Importar Reservas'!N37="",0,'Importar Reservas'!N37))</f>
        <v/>
      </c>
      <c r="F45" s="91">
        <f>IF($A45="","",IFERROR(INDEX(Configurações!$C$5:$C$100,MATCH($C45,Configurações!$A$5:$A$100,0)),"Margem"))</f>
        <v/>
      </c>
      <c r="G45" s="111">
        <f>IF($A45="","",IFERROR(INDEX(Configurações!$B$5:$B$100,MATCH($C45,Configurações!$A$5:$A$100,0)),0))</f>
        <v/>
      </c>
      <c r="H45" s="110">
        <f>IF(OR($A45="",'Importar Reservas'!M37&lt;&gt;"Aprovado",$D45&lt;=0),"",MAX(0,IF($F45="Margem",$D45-$E45,$D45))*$G45)</f>
        <v/>
      </c>
      <c r="K45" s="78">
        <f>IF(J45="","",SUMIF(C:C,J45,H:H))</f>
        <v/>
      </c>
    </row>
    <row r="46" ht="15" customHeight="1" s="79">
      <c r="A46" s="91">
        <f>IF('Importar Reservas'!A38="","",'Importar Reservas'!A38)</f>
        <v/>
      </c>
      <c r="B46" s="109">
        <f>IF($A46="","",'Importar Reservas'!B38)</f>
        <v/>
      </c>
      <c r="C46" s="91">
        <f>IF($A46="","",'Importar Reservas'!Z38)</f>
        <v/>
      </c>
      <c r="D46" s="110">
        <f>IF($A46="","",IF('Importar Reservas'!O38="",0,'Importar Reservas'!O38))</f>
        <v/>
      </c>
      <c r="E46" s="110">
        <f>IF($A46="","",IF('Importar Reservas'!N38="",0,'Importar Reservas'!N38))</f>
        <v/>
      </c>
      <c r="F46" s="91">
        <f>IF($A46="","",IFERROR(INDEX(Configurações!$C$5:$C$100,MATCH($C46,Configurações!$A$5:$A$100,0)),"Margem"))</f>
        <v/>
      </c>
      <c r="G46" s="111">
        <f>IF($A46="","",IFERROR(INDEX(Configurações!$B$5:$B$100,MATCH($C46,Configurações!$A$5:$A$100,0)),0))</f>
        <v/>
      </c>
      <c r="H46" s="110">
        <f>IF(OR($A46="",'Importar Reservas'!M38&lt;&gt;"Aprovado",$D46&lt;=0),"",MAX(0,IF($F46="Margem",$D46-$E46,$D46))*$G46)</f>
        <v/>
      </c>
      <c r="K46" s="78">
        <f>IF(J46="","",SUMIF(C:C,J46,H:H))</f>
        <v/>
      </c>
    </row>
    <row r="47" ht="15" customHeight="1" s="79">
      <c r="A47" s="91">
        <f>IF('Importar Reservas'!A39="","",'Importar Reservas'!A39)</f>
        <v/>
      </c>
      <c r="B47" s="109">
        <f>IF($A47="","",'Importar Reservas'!B39)</f>
        <v/>
      </c>
      <c r="C47" s="91">
        <f>IF($A47="","",'Importar Reservas'!Z39)</f>
        <v/>
      </c>
      <c r="D47" s="110">
        <f>IF($A47="","",IF('Importar Reservas'!O39="",0,'Importar Reservas'!O39))</f>
        <v/>
      </c>
      <c r="E47" s="110">
        <f>IF($A47="","",IF('Importar Reservas'!N39="",0,'Importar Reservas'!N39))</f>
        <v/>
      </c>
      <c r="F47" s="91">
        <f>IF($A47="","",IFERROR(INDEX(Configurações!$C$5:$C$100,MATCH($C47,Configurações!$A$5:$A$100,0)),"Margem"))</f>
        <v/>
      </c>
      <c r="G47" s="111">
        <f>IF($A47="","",IFERROR(INDEX(Configurações!$B$5:$B$100,MATCH($C47,Configurações!$A$5:$A$100,0)),0))</f>
        <v/>
      </c>
      <c r="H47" s="110">
        <f>IF(OR($A47="",'Importar Reservas'!M39&lt;&gt;"Aprovado",$D47&lt;=0),"",MAX(0,IF($F47="Margem",$D47-$E47,$D47))*$G47)</f>
        <v/>
      </c>
      <c r="K47" s="78">
        <f>IF(J47="","",SUMIF(C:C,J47,H:H))</f>
        <v/>
      </c>
    </row>
    <row r="48" ht="15" customHeight="1" s="79">
      <c r="A48" s="91">
        <f>IF('Importar Reservas'!A40="","",'Importar Reservas'!A40)</f>
        <v/>
      </c>
      <c r="B48" s="109">
        <f>IF($A48="","",'Importar Reservas'!B40)</f>
        <v/>
      </c>
      <c r="C48" s="91">
        <f>IF($A48="","",'Importar Reservas'!Z40)</f>
        <v/>
      </c>
      <c r="D48" s="110">
        <f>IF($A48="","",IF('Importar Reservas'!O40="",0,'Importar Reservas'!O40))</f>
        <v/>
      </c>
      <c r="E48" s="110">
        <f>IF($A48="","",IF('Importar Reservas'!N40="",0,'Importar Reservas'!N40))</f>
        <v/>
      </c>
      <c r="F48" s="91">
        <f>IF($A48="","",IFERROR(INDEX(Configurações!$C$5:$C$100,MATCH($C48,Configurações!$A$5:$A$100,0)),"Margem"))</f>
        <v/>
      </c>
      <c r="G48" s="111">
        <f>IF($A48="","",IFERROR(INDEX(Configurações!$B$5:$B$100,MATCH($C48,Configurações!$A$5:$A$100,0)),0))</f>
        <v/>
      </c>
      <c r="H48" s="110">
        <f>IF(OR($A48="",'Importar Reservas'!M40&lt;&gt;"Aprovado",$D48&lt;=0),"",MAX(0,IF($F48="Margem",$D48-$E48,$D48))*$G48)</f>
        <v/>
      </c>
      <c r="K48" s="78">
        <f>IF(J48="","",SUMIF(C:C,J48,H:H))</f>
        <v/>
      </c>
    </row>
    <row r="49" ht="15" customHeight="1" s="79">
      <c r="A49" s="91">
        <f>IF('Importar Reservas'!A41="","",'Importar Reservas'!A41)</f>
        <v/>
      </c>
      <c r="B49" s="109">
        <f>IF($A49="","",'Importar Reservas'!B41)</f>
        <v/>
      </c>
      <c r="C49" s="91">
        <f>IF($A49="","",'Importar Reservas'!Z41)</f>
        <v/>
      </c>
      <c r="D49" s="110">
        <f>IF($A49="","",IF('Importar Reservas'!O41="",0,'Importar Reservas'!O41))</f>
        <v/>
      </c>
      <c r="E49" s="110">
        <f>IF($A49="","",IF('Importar Reservas'!N41="",0,'Importar Reservas'!N41))</f>
        <v/>
      </c>
      <c r="F49" s="91">
        <f>IF($A49="","",IFERROR(INDEX(Configurações!$C$5:$C$100,MATCH($C49,Configurações!$A$5:$A$100,0)),"Margem"))</f>
        <v/>
      </c>
      <c r="G49" s="111">
        <f>IF($A49="","",IFERROR(INDEX(Configurações!$B$5:$B$100,MATCH($C49,Configurações!$A$5:$A$100,0)),0))</f>
        <v/>
      </c>
      <c r="H49" s="110">
        <f>IF(OR($A49="",'Importar Reservas'!M41&lt;&gt;"Aprovado",$D49&lt;=0),"",MAX(0,IF($F49="Margem",$D49-$E49,$D49))*$G49)</f>
        <v/>
      </c>
      <c r="K49" s="78">
        <f>IF(J49="","",SUMIF(C:C,J49,H:H))</f>
        <v/>
      </c>
    </row>
    <row r="50" ht="15" customHeight="1" s="79">
      <c r="A50" s="91">
        <f>IF('Importar Reservas'!A42="","",'Importar Reservas'!A42)</f>
        <v/>
      </c>
      <c r="B50" s="109">
        <f>IF($A50="","",'Importar Reservas'!B42)</f>
        <v/>
      </c>
      <c r="C50" s="91">
        <f>IF($A50="","",'Importar Reservas'!Z42)</f>
        <v/>
      </c>
      <c r="D50" s="110">
        <f>IF($A50="","",IF('Importar Reservas'!O42="",0,'Importar Reservas'!O42))</f>
        <v/>
      </c>
      <c r="E50" s="110">
        <f>IF($A50="","",IF('Importar Reservas'!N42="",0,'Importar Reservas'!N42))</f>
        <v/>
      </c>
      <c r="F50" s="91">
        <f>IF($A50="","",IFERROR(INDEX(Configurações!$C$5:$C$100,MATCH($C50,Configurações!$A$5:$A$100,0)),"Margem"))</f>
        <v/>
      </c>
      <c r="G50" s="111">
        <f>IF($A50="","",IFERROR(INDEX(Configurações!$B$5:$B$100,MATCH($C50,Configurações!$A$5:$A$100,0)),0))</f>
        <v/>
      </c>
      <c r="H50" s="110">
        <f>IF(OR($A50="",'Importar Reservas'!M42&lt;&gt;"Aprovado",$D50&lt;=0),"",MAX(0,IF($F50="Margem",$D50-$E50,$D50))*$G50)</f>
        <v/>
      </c>
      <c r="K50" s="78">
        <f>IF(J50="","",SUMIF(C:C,J50,H:H))</f>
        <v/>
      </c>
    </row>
    <row r="51" ht="15" customHeight="1" s="79">
      <c r="A51" s="78">
        <f>IF('Importar Reservas'!A43="","",'Importar Reservas'!A43)</f>
        <v/>
      </c>
      <c r="B51" s="78">
        <f>IF($A51="","",'Importar Reservas'!B43)</f>
        <v/>
      </c>
      <c r="C51" s="78">
        <f>IF($A51="","",'Importar Reservas'!Z43)</f>
        <v/>
      </c>
      <c r="D51" s="78">
        <f>IF($A51="","",IF('Importar Reservas'!O43="",0,'Importar Reservas'!O43))</f>
        <v/>
      </c>
      <c r="E51" s="78">
        <f>IF($A51="","",IF('Importar Reservas'!N43="",0,'Importar Reservas'!N43))</f>
        <v/>
      </c>
      <c r="F51" s="78">
        <f>IF($A51="","",IFERROR(INDEX(Configurações!$C$5:$C$100,MATCH($C51,Configurações!$A$5:$A$100,0)),"Margem"))</f>
        <v/>
      </c>
      <c r="G51" s="78">
        <f>IF($A51="","",IFERROR(INDEX(Configurações!$B$5:$B$100,MATCH($C51,Configurações!$A$5:$A$100,0)),0))</f>
        <v/>
      </c>
      <c r="H51" s="78">
        <f>IF(OR($A51="",'Importar Reservas'!M43&lt;&gt;"Aprovado",$D51&lt;=0),"",MAX(0,IF($F51="Margem",$D51-$E51,$D51))*$G51)</f>
        <v/>
      </c>
      <c r="K51" s="78">
        <f>IF(J51="","",SUMIF(C:C,J51,H:H))</f>
        <v/>
      </c>
    </row>
    <row r="52" ht="15" customHeight="1" s="79">
      <c r="A52" s="78">
        <f>IF('Importar Reservas'!A44="","",'Importar Reservas'!A44)</f>
        <v/>
      </c>
      <c r="B52" s="78">
        <f>IF($A52="","",'Importar Reservas'!B44)</f>
        <v/>
      </c>
      <c r="C52" s="78">
        <f>IF($A52="","",'Importar Reservas'!Z44)</f>
        <v/>
      </c>
      <c r="D52" s="78">
        <f>IF($A52="","",IF('Importar Reservas'!O44="",0,'Importar Reservas'!O44))</f>
        <v/>
      </c>
      <c r="E52" s="78">
        <f>IF($A52="","",IF('Importar Reservas'!N44="",0,'Importar Reservas'!N44))</f>
        <v/>
      </c>
      <c r="F52" s="78">
        <f>IF($A52="","",IFERROR(INDEX(Configurações!$C$5:$C$100,MATCH($C52,Configurações!$A$5:$A$100,0)),"Margem"))</f>
        <v/>
      </c>
      <c r="G52" s="78">
        <f>IF($A52="","",IFERROR(INDEX(Configurações!$B$5:$B$100,MATCH($C52,Configurações!$A$5:$A$100,0)),0))</f>
        <v/>
      </c>
      <c r="H52" s="78">
        <f>IF(OR($A52="",'Importar Reservas'!M44&lt;&gt;"Aprovado",$D52&lt;=0),"",MAX(0,IF($F52="Margem",$D52-$E52,$D52))*$G52)</f>
        <v/>
      </c>
      <c r="K52" s="78">
        <f>IF(J52="","",SUMIF(C:C,J52,H:H))</f>
        <v/>
      </c>
    </row>
    <row r="53" ht="15" customHeight="1" s="79">
      <c r="A53" s="78">
        <f>IF('Importar Reservas'!A45="","",'Importar Reservas'!A45)</f>
        <v/>
      </c>
      <c r="B53" s="78">
        <f>IF($A53="","",'Importar Reservas'!B45)</f>
        <v/>
      </c>
      <c r="C53" s="78">
        <f>IF($A53="","",'Importar Reservas'!Z45)</f>
        <v/>
      </c>
      <c r="D53" s="78">
        <f>IF($A53="","",IF('Importar Reservas'!O45="",0,'Importar Reservas'!O45))</f>
        <v/>
      </c>
      <c r="E53" s="78">
        <f>IF($A53="","",IF('Importar Reservas'!N45="",0,'Importar Reservas'!N45))</f>
        <v/>
      </c>
      <c r="F53" s="78">
        <f>IF($A53="","",IFERROR(INDEX(Configurações!$C$5:$C$100,MATCH($C53,Configurações!$A$5:$A$100,0)),"Margem"))</f>
        <v/>
      </c>
      <c r="G53" s="78">
        <f>IF($A53="","",IFERROR(INDEX(Configurações!$B$5:$B$100,MATCH($C53,Configurações!$A$5:$A$100,0)),0))</f>
        <v/>
      </c>
      <c r="H53" s="78">
        <f>IF(OR($A53="",'Importar Reservas'!M45&lt;&gt;"Aprovado",$D53&lt;=0),"",MAX(0,IF($F53="Margem",$D53-$E53,$D53))*$G53)</f>
        <v/>
      </c>
      <c r="K53" s="78">
        <f>IF(J53="","",SUMIF(C:C,J53,H:H))</f>
        <v/>
      </c>
    </row>
    <row r="54" ht="15" customHeight="1" s="79">
      <c r="A54" s="78">
        <f>IF('Importar Reservas'!A46="","",'Importar Reservas'!A46)</f>
        <v/>
      </c>
      <c r="B54" s="78">
        <f>IF($A54="","",'Importar Reservas'!B46)</f>
        <v/>
      </c>
      <c r="C54" s="78">
        <f>IF($A54="","",'Importar Reservas'!Z46)</f>
        <v/>
      </c>
      <c r="D54" s="78">
        <f>IF($A54="","",IF('Importar Reservas'!O46="",0,'Importar Reservas'!O46))</f>
        <v/>
      </c>
      <c r="E54" s="78">
        <f>IF($A54="","",IF('Importar Reservas'!N46="",0,'Importar Reservas'!N46))</f>
        <v/>
      </c>
      <c r="F54" s="78">
        <f>IF($A54="","",IFERROR(INDEX(Configurações!$C$5:$C$100,MATCH($C54,Configurações!$A$5:$A$100,0)),"Margem"))</f>
        <v/>
      </c>
      <c r="G54" s="78">
        <f>IF($A54="","",IFERROR(INDEX(Configurações!$B$5:$B$100,MATCH($C54,Configurações!$A$5:$A$100,0)),0))</f>
        <v/>
      </c>
      <c r="H54" s="78">
        <f>IF(OR($A54="",'Importar Reservas'!M46&lt;&gt;"Aprovado",$D54&lt;=0),"",MAX(0,IF($F54="Margem",$D54-$E54,$D54))*$G54)</f>
        <v/>
      </c>
      <c r="K54" s="78">
        <f>IF(J54="","",SUMIF(C:C,J54,H:H))</f>
        <v/>
      </c>
    </row>
    <row r="55" ht="15" customHeight="1" s="79">
      <c r="A55" s="78">
        <f>IF('Importar Reservas'!A47="","",'Importar Reservas'!A47)</f>
        <v/>
      </c>
      <c r="B55" s="78">
        <f>IF($A55="","",'Importar Reservas'!B47)</f>
        <v/>
      </c>
      <c r="C55" s="78">
        <f>IF($A55="","",'Importar Reservas'!Z47)</f>
        <v/>
      </c>
      <c r="D55" s="78">
        <f>IF($A55="","",IF('Importar Reservas'!O47="",0,'Importar Reservas'!O47))</f>
        <v/>
      </c>
      <c r="E55" s="78">
        <f>IF($A55="","",IF('Importar Reservas'!N47="",0,'Importar Reservas'!N47))</f>
        <v/>
      </c>
      <c r="F55" s="78">
        <f>IF($A55="","",IFERROR(INDEX(Configurações!$C$5:$C$100,MATCH($C55,Configurações!$A$5:$A$100,0)),"Margem"))</f>
        <v/>
      </c>
      <c r="G55" s="78">
        <f>IF($A55="","",IFERROR(INDEX(Configurações!$B$5:$B$100,MATCH($C55,Configurações!$A$5:$A$100,0)),0))</f>
        <v/>
      </c>
      <c r="H55" s="78">
        <f>IF(OR($A55="",'Importar Reservas'!M47&lt;&gt;"Aprovado",$D55&lt;=0),"",MAX(0,IF($F55="Margem",$D55-$E55,$D55))*$G55)</f>
        <v/>
      </c>
      <c r="K55" s="78">
        <f>IF(J55="","",SUMIF(C:C,J55,H:H))</f>
        <v/>
      </c>
    </row>
    <row r="56" ht="15" customHeight="1" s="79">
      <c r="A56" s="78">
        <f>IF('Importar Reservas'!A48="","",'Importar Reservas'!A48)</f>
        <v/>
      </c>
      <c r="B56" s="78">
        <f>IF($A56="","",'Importar Reservas'!B48)</f>
        <v/>
      </c>
      <c r="C56" s="78">
        <f>IF($A56="","",'Importar Reservas'!Z48)</f>
        <v/>
      </c>
      <c r="D56" s="78">
        <f>IF($A56="","",IF('Importar Reservas'!O48="",0,'Importar Reservas'!O48))</f>
        <v/>
      </c>
      <c r="E56" s="78">
        <f>IF($A56="","",IF('Importar Reservas'!N48="",0,'Importar Reservas'!N48))</f>
        <v/>
      </c>
      <c r="F56" s="78">
        <f>IF($A56="","",IFERROR(INDEX(Configurações!$C$5:$C$100,MATCH($C56,Configurações!$A$5:$A$100,0)),"Margem"))</f>
        <v/>
      </c>
      <c r="G56" s="78">
        <f>IF($A56="","",IFERROR(INDEX(Configurações!$B$5:$B$100,MATCH($C56,Configurações!$A$5:$A$100,0)),0))</f>
        <v/>
      </c>
      <c r="H56" s="78">
        <f>IF(OR($A56="",'Importar Reservas'!M48&lt;&gt;"Aprovado",$D56&lt;=0),"",MAX(0,IF($F56="Margem",$D56-$E56,$D56))*$G56)</f>
        <v/>
      </c>
      <c r="K56" s="78">
        <f>IF(J56="","",SUMIF(C:C,J56,H:H))</f>
        <v/>
      </c>
    </row>
    <row r="57" ht="15" customHeight="1" s="79">
      <c r="A57" s="78">
        <f>IF('Importar Reservas'!A49="","",'Importar Reservas'!A49)</f>
        <v/>
      </c>
      <c r="B57" s="78">
        <f>IF($A57="","",'Importar Reservas'!B49)</f>
        <v/>
      </c>
      <c r="C57" s="78">
        <f>IF($A57="","",'Importar Reservas'!Z49)</f>
        <v/>
      </c>
      <c r="D57" s="78">
        <f>IF($A57="","",IF('Importar Reservas'!O49="",0,'Importar Reservas'!O49))</f>
        <v/>
      </c>
      <c r="E57" s="78">
        <f>IF($A57="","",IF('Importar Reservas'!N49="",0,'Importar Reservas'!N49))</f>
        <v/>
      </c>
      <c r="F57" s="78">
        <f>IF($A57="","",IFERROR(INDEX(Configurações!$C$5:$C$100,MATCH($C57,Configurações!$A$5:$A$100,0)),"Margem"))</f>
        <v/>
      </c>
      <c r="G57" s="78">
        <f>IF($A57="","",IFERROR(INDEX(Configurações!$B$5:$B$100,MATCH($C57,Configurações!$A$5:$A$100,0)),0))</f>
        <v/>
      </c>
      <c r="H57" s="78">
        <f>IF(OR($A57="",'Importar Reservas'!M49&lt;&gt;"Aprovado",$D57&lt;=0),"",MAX(0,IF($F57="Margem",$D57-$E57,$D57))*$G57)</f>
        <v/>
      </c>
      <c r="K57" s="78">
        <f>IF(J57="","",SUMIF(C:C,J57,H:H))</f>
        <v/>
      </c>
    </row>
    <row r="58" ht="15" customHeight="1" s="79">
      <c r="A58" s="78">
        <f>IF('Importar Reservas'!A50="","",'Importar Reservas'!A50)</f>
        <v/>
      </c>
      <c r="B58" s="78">
        <f>IF($A58="","",'Importar Reservas'!B50)</f>
        <v/>
      </c>
      <c r="C58" s="78">
        <f>IF($A58="","",'Importar Reservas'!Z50)</f>
        <v/>
      </c>
      <c r="D58" s="78">
        <f>IF($A58="","",IF('Importar Reservas'!O50="",0,'Importar Reservas'!O50))</f>
        <v/>
      </c>
      <c r="E58" s="78">
        <f>IF($A58="","",IF('Importar Reservas'!N50="",0,'Importar Reservas'!N50))</f>
        <v/>
      </c>
      <c r="F58" s="78">
        <f>IF($A58="","",IFERROR(INDEX(Configurações!$C$5:$C$100,MATCH($C58,Configurações!$A$5:$A$100,0)),"Margem"))</f>
        <v/>
      </c>
      <c r="G58" s="78">
        <f>IF($A58="","",IFERROR(INDEX(Configurações!$B$5:$B$100,MATCH($C58,Configurações!$A$5:$A$100,0)),0))</f>
        <v/>
      </c>
      <c r="H58" s="78">
        <f>IF(OR($A58="",'Importar Reservas'!M50&lt;&gt;"Aprovado",$D58&lt;=0),"",MAX(0,IF($F58="Margem",$D58-$E58,$D58))*$G58)</f>
        <v/>
      </c>
      <c r="K58" s="78">
        <f>IF(J58="","",SUMIF(C:C,J58,H:H))</f>
        <v/>
      </c>
    </row>
    <row r="59" ht="15" customHeight="1" s="79">
      <c r="A59" s="78">
        <f>IF('Importar Reservas'!A51="","",'Importar Reservas'!A51)</f>
        <v/>
      </c>
      <c r="B59" s="78">
        <f>IF($A59="","",'Importar Reservas'!B51)</f>
        <v/>
      </c>
      <c r="C59" s="78">
        <f>IF($A59="","",'Importar Reservas'!Z51)</f>
        <v/>
      </c>
      <c r="D59" s="78">
        <f>IF($A59="","",IF('Importar Reservas'!O51="",0,'Importar Reservas'!O51))</f>
        <v/>
      </c>
      <c r="E59" s="78">
        <f>IF($A59="","",IF('Importar Reservas'!N51="",0,'Importar Reservas'!N51))</f>
        <v/>
      </c>
      <c r="F59" s="78">
        <f>IF($A59="","",IFERROR(INDEX(Configurações!$C$5:$C$100,MATCH($C59,Configurações!$A$5:$A$100,0)),"Margem"))</f>
        <v/>
      </c>
      <c r="G59" s="78">
        <f>IF($A59="","",IFERROR(INDEX(Configurações!$B$5:$B$100,MATCH($C59,Configurações!$A$5:$A$100,0)),0))</f>
        <v/>
      </c>
      <c r="H59" s="78">
        <f>IF(OR($A59="",'Importar Reservas'!M51&lt;&gt;"Aprovado",$D59&lt;=0),"",MAX(0,IF($F59="Margem",$D59-$E59,$D59))*$G59)</f>
        <v/>
      </c>
      <c r="K59" s="78">
        <f>IF(J59="","",SUMIF(C:C,J59,H:H))</f>
        <v/>
      </c>
    </row>
    <row r="60" ht="15" customHeight="1" s="79">
      <c r="A60" s="78">
        <f>IF('Importar Reservas'!A52="","",'Importar Reservas'!A52)</f>
        <v/>
      </c>
      <c r="B60" s="78">
        <f>IF($A60="","",'Importar Reservas'!B52)</f>
        <v/>
      </c>
      <c r="C60" s="78">
        <f>IF($A60="","",'Importar Reservas'!Z52)</f>
        <v/>
      </c>
      <c r="D60" s="78">
        <f>IF($A60="","",IF('Importar Reservas'!O52="",0,'Importar Reservas'!O52))</f>
        <v/>
      </c>
      <c r="E60" s="78">
        <f>IF($A60="","",IF('Importar Reservas'!N52="",0,'Importar Reservas'!N52))</f>
        <v/>
      </c>
      <c r="F60" s="78">
        <f>IF($A60="","",IFERROR(INDEX(Configurações!$C$5:$C$100,MATCH($C60,Configurações!$A$5:$A$100,0)),"Margem"))</f>
        <v/>
      </c>
      <c r="G60" s="78">
        <f>IF($A60="","",IFERROR(INDEX(Configurações!$B$5:$B$100,MATCH($C60,Configurações!$A$5:$A$100,0)),0))</f>
        <v/>
      </c>
      <c r="H60" s="78">
        <f>IF(OR($A60="",'Importar Reservas'!M52&lt;&gt;"Aprovado",$D60&lt;=0),"",MAX(0,IF($F60="Margem",$D60-$E60,$D60))*$G60)</f>
        <v/>
      </c>
      <c r="K60" s="78">
        <f>IF(J60="","",SUMIF(C:C,J60,H:H))</f>
        <v/>
      </c>
    </row>
    <row r="61" ht="15" customHeight="1" s="79">
      <c r="A61" s="78">
        <f>IF('Importar Reservas'!A53="","",'Importar Reservas'!A53)</f>
        <v/>
      </c>
      <c r="B61" s="78">
        <f>IF($A61="","",'Importar Reservas'!B53)</f>
        <v/>
      </c>
      <c r="C61" s="78">
        <f>IF($A61="","",'Importar Reservas'!Z53)</f>
        <v/>
      </c>
      <c r="D61" s="78">
        <f>IF($A61="","",IF('Importar Reservas'!O53="",0,'Importar Reservas'!O53))</f>
        <v/>
      </c>
      <c r="E61" s="78">
        <f>IF($A61="","",IF('Importar Reservas'!N53="",0,'Importar Reservas'!N53))</f>
        <v/>
      </c>
      <c r="F61" s="78">
        <f>IF($A61="","",IFERROR(INDEX(Configurações!$C$5:$C$100,MATCH($C61,Configurações!$A$5:$A$100,0)),"Margem"))</f>
        <v/>
      </c>
      <c r="G61" s="78">
        <f>IF($A61="","",IFERROR(INDEX(Configurações!$B$5:$B$100,MATCH($C61,Configurações!$A$5:$A$100,0)),0))</f>
        <v/>
      </c>
      <c r="H61" s="78">
        <f>IF(OR($A61="",'Importar Reservas'!M53&lt;&gt;"Aprovado",$D61&lt;=0),"",MAX(0,IF($F61="Margem",$D61-$E61,$D61))*$G61)</f>
        <v/>
      </c>
      <c r="K61" s="78">
        <f>IF(J61="","",SUMIF(C:C,J61,H:H))</f>
        <v/>
      </c>
    </row>
    <row r="62" ht="15" customHeight="1" s="79">
      <c r="A62" s="78">
        <f>IF('Importar Reservas'!A54="","",'Importar Reservas'!A54)</f>
        <v/>
      </c>
      <c r="B62" s="78">
        <f>IF($A62="","",'Importar Reservas'!B54)</f>
        <v/>
      </c>
      <c r="C62" s="78">
        <f>IF($A62="","",'Importar Reservas'!Z54)</f>
        <v/>
      </c>
      <c r="D62" s="78">
        <f>IF($A62="","",IF('Importar Reservas'!O54="",0,'Importar Reservas'!O54))</f>
        <v/>
      </c>
      <c r="E62" s="78">
        <f>IF($A62="","",IF('Importar Reservas'!N54="",0,'Importar Reservas'!N54))</f>
        <v/>
      </c>
      <c r="F62" s="78">
        <f>IF($A62="","",IFERROR(INDEX(Configurações!$C$5:$C$100,MATCH($C62,Configurações!$A$5:$A$100,0)),"Margem"))</f>
        <v/>
      </c>
      <c r="G62" s="78">
        <f>IF($A62="","",IFERROR(INDEX(Configurações!$B$5:$B$100,MATCH($C62,Configurações!$A$5:$A$100,0)),0))</f>
        <v/>
      </c>
      <c r="H62" s="78">
        <f>IF(OR($A62="",'Importar Reservas'!M54&lt;&gt;"Aprovado",$D62&lt;=0),"",MAX(0,IF($F62="Margem",$D62-$E62,$D62))*$G62)</f>
        <v/>
      </c>
      <c r="K62" s="78">
        <f>IF(J62="","",SUMIF(C:C,J62,H:H))</f>
        <v/>
      </c>
    </row>
    <row r="63" ht="15" customHeight="1" s="79">
      <c r="A63" s="78">
        <f>IF('Importar Reservas'!A55="","",'Importar Reservas'!A55)</f>
        <v/>
      </c>
      <c r="B63" s="78">
        <f>IF($A63="","",'Importar Reservas'!B55)</f>
        <v/>
      </c>
      <c r="C63" s="78">
        <f>IF($A63="","",'Importar Reservas'!Z55)</f>
        <v/>
      </c>
      <c r="D63" s="78">
        <f>IF($A63="","",IF('Importar Reservas'!O55="",0,'Importar Reservas'!O55))</f>
        <v/>
      </c>
      <c r="E63" s="78">
        <f>IF($A63="","",IF('Importar Reservas'!N55="",0,'Importar Reservas'!N55))</f>
        <v/>
      </c>
      <c r="F63" s="78">
        <f>IF($A63="","",IFERROR(INDEX(Configurações!$C$5:$C$100,MATCH($C63,Configurações!$A$5:$A$100,0)),"Margem"))</f>
        <v/>
      </c>
      <c r="G63" s="78">
        <f>IF($A63="","",IFERROR(INDEX(Configurações!$B$5:$B$100,MATCH($C63,Configurações!$A$5:$A$100,0)),0))</f>
        <v/>
      </c>
      <c r="H63" s="78">
        <f>IF(OR($A63="",'Importar Reservas'!M55&lt;&gt;"Aprovado",$D63&lt;=0),"",MAX(0,IF($F63="Margem",$D63-$E63,$D63))*$G63)</f>
        <v/>
      </c>
      <c r="K63" s="78">
        <f>IF(J63="","",SUMIF(C:C,J63,H:H))</f>
        <v/>
      </c>
    </row>
    <row r="64" ht="15" customHeight="1" s="79">
      <c r="A64" s="78">
        <f>IF('Importar Reservas'!A56="","",'Importar Reservas'!A56)</f>
        <v/>
      </c>
      <c r="B64" s="78">
        <f>IF($A64="","",'Importar Reservas'!B56)</f>
        <v/>
      </c>
      <c r="C64" s="78">
        <f>IF($A64="","",'Importar Reservas'!Z56)</f>
        <v/>
      </c>
      <c r="D64" s="78">
        <f>IF($A64="","",IF('Importar Reservas'!O56="",0,'Importar Reservas'!O56))</f>
        <v/>
      </c>
      <c r="E64" s="78">
        <f>IF($A64="","",IF('Importar Reservas'!N56="",0,'Importar Reservas'!N56))</f>
        <v/>
      </c>
      <c r="F64" s="78">
        <f>IF($A64="","",IFERROR(INDEX(Configurações!$C$5:$C$100,MATCH($C64,Configurações!$A$5:$A$100,0)),"Margem"))</f>
        <v/>
      </c>
      <c r="G64" s="78">
        <f>IF($A64="","",IFERROR(INDEX(Configurações!$B$5:$B$100,MATCH($C64,Configurações!$A$5:$A$100,0)),0))</f>
        <v/>
      </c>
      <c r="H64" s="78">
        <f>IF(OR($A64="",'Importar Reservas'!M56&lt;&gt;"Aprovado",$D64&lt;=0),"",MAX(0,IF($F64="Margem",$D64-$E64,$D64))*$G64)</f>
        <v/>
      </c>
      <c r="K64" s="78">
        <f>IF(J64="","",SUMIF(C:C,J64,H:H))</f>
        <v/>
      </c>
    </row>
    <row r="65" ht="15" customHeight="1" s="79">
      <c r="A65" s="78">
        <f>IF('Importar Reservas'!A57="","",'Importar Reservas'!A57)</f>
        <v/>
      </c>
      <c r="B65" s="78">
        <f>IF($A65="","",'Importar Reservas'!B57)</f>
        <v/>
      </c>
      <c r="C65" s="78">
        <f>IF($A65="","",'Importar Reservas'!Z57)</f>
        <v/>
      </c>
      <c r="D65" s="78">
        <f>IF($A65="","",IF('Importar Reservas'!O57="",0,'Importar Reservas'!O57))</f>
        <v/>
      </c>
      <c r="E65" s="78">
        <f>IF($A65="","",IF('Importar Reservas'!N57="",0,'Importar Reservas'!N57))</f>
        <v/>
      </c>
      <c r="F65" s="78">
        <f>IF($A65="","",IFERROR(INDEX(Configurações!$C$5:$C$100,MATCH($C65,Configurações!$A$5:$A$100,0)),"Margem"))</f>
        <v/>
      </c>
      <c r="G65" s="78">
        <f>IF($A65="","",IFERROR(INDEX(Configurações!$B$5:$B$100,MATCH($C65,Configurações!$A$5:$A$100,0)),0))</f>
        <v/>
      </c>
      <c r="H65" s="78">
        <f>IF(OR($A65="",'Importar Reservas'!M57&lt;&gt;"Aprovado",$D65&lt;=0),"",MAX(0,IF($F65="Margem",$D65-$E65,$D65))*$G65)</f>
        <v/>
      </c>
      <c r="K65" s="78">
        <f>IF(J65="","",SUMIF(C:C,J65,H:H))</f>
        <v/>
      </c>
    </row>
    <row r="66" ht="15" customHeight="1" s="79">
      <c r="A66" s="78">
        <f>IF('Importar Reservas'!A58="","",'Importar Reservas'!A58)</f>
        <v/>
      </c>
      <c r="B66" s="78">
        <f>IF($A66="","",'Importar Reservas'!B58)</f>
        <v/>
      </c>
      <c r="C66" s="78">
        <f>IF($A66="","",'Importar Reservas'!Z58)</f>
        <v/>
      </c>
      <c r="D66" s="78">
        <f>IF($A66="","",IF('Importar Reservas'!O58="",0,'Importar Reservas'!O58))</f>
        <v/>
      </c>
      <c r="E66" s="78">
        <f>IF($A66="","",IF('Importar Reservas'!N58="",0,'Importar Reservas'!N58))</f>
        <v/>
      </c>
      <c r="F66" s="78">
        <f>IF($A66="","",IFERROR(INDEX(Configurações!$C$5:$C$100,MATCH($C66,Configurações!$A$5:$A$100,0)),"Margem"))</f>
        <v/>
      </c>
      <c r="G66" s="78">
        <f>IF($A66="","",IFERROR(INDEX(Configurações!$B$5:$B$100,MATCH($C66,Configurações!$A$5:$A$100,0)),0))</f>
        <v/>
      </c>
      <c r="H66" s="78">
        <f>IF(OR($A66="",'Importar Reservas'!M58&lt;&gt;"Aprovado",$D66&lt;=0),"",MAX(0,IF($F66="Margem",$D66-$E66,$D66))*$G66)</f>
        <v/>
      </c>
      <c r="K66" s="78">
        <f>IF(J66="","",SUMIF(C:C,J66,H:H))</f>
        <v/>
      </c>
    </row>
    <row r="67" ht="15" customHeight="1" s="79">
      <c r="A67" s="78">
        <f>IF('Importar Reservas'!A59="","",'Importar Reservas'!A59)</f>
        <v/>
      </c>
      <c r="B67" s="78">
        <f>IF($A67="","",'Importar Reservas'!B59)</f>
        <v/>
      </c>
      <c r="C67" s="78">
        <f>IF($A67="","",'Importar Reservas'!Z59)</f>
        <v/>
      </c>
      <c r="D67" s="78">
        <f>IF($A67="","",IF('Importar Reservas'!O59="",0,'Importar Reservas'!O59))</f>
        <v/>
      </c>
      <c r="E67" s="78">
        <f>IF($A67="","",IF('Importar Reservas'!N59="",0,'Importar Reservas'!N59))</f>
        <v/>
      </c>
      <c r="F67" s="78">
        <f>IF($A67="","",IFERROR(INDEX(Configurações!$C$5:$C$100,MATCH($C67,Configurações!$A$5:$A$100,0)),"Margem"))</f>
        <v/>
      </c>
      <c r="G67" s="78">
        <f>IF($A67="","",IFERROR(INDEX(Configurações!$B$5:$B$100,MATCH($C67,Configurações!$A$5:$A$100,0)),0))</f>
        <v/>
      </c>
      <c r="H67" s="78">
        <f>IF(OR($A67="",'Importar Reservas'!M59&lt;&gt;"Aprovado",$D67&lt;=0),"",MAX(0,IF($F67="Margem",$D67-$E67,$D67))*$G67)</f>
        <v/>
      </c>
      <c r="K67" s="78">
        <f>IF(J67="","",SUMIF(C:C,J67,H:H))</f>
        <v/>
      </c>
    </row>
    <row r="68" ht="15" customHeight="1" s="79">
      <c r="A68" s="78">
        <f>IF('Importar Reservas'!A60="","",'Importar Reservas'!A60)</f>
        <v/>
      </c>
      <c r="B68" s="78">
        <f>IF($A68="","",'Importar Reservas'!B60)</f>
        <v/>
      </c>
      <c r="C68" s="78">
        <f>IF($A68="","",'Importar Reservas'!Z60)</f>
        <v/>
      </c>
      <c r="D68" s="78">
        <f>IF($A68="","",IF('Importar Reservas'!O60="",0,'Importar Reservas'!O60))</f>
        <v/>
      </c>
      <c r="E68" s="78">
        <f>IF($A68="","",IF('Importar Reservas'!N60="",0,'Importar Reservas'!N60))</f>
        <v/>
      </c>
      <c r="F68" s="78">
        <f>IF($A68="","",IFERROR(INDEX(Configurações!$C$5:$C$100,MATCH($C68,Configurações!$A$5:$A$100,0)),"Margem"))</f>
        <v/>
      </c>
      <c r="G68" s="78">
        <f>IF($A68="","",IFERROR(INDEX(Configurações!$B$5:$B$100,MATCH($C68,Configurações!$A$5:$A$100,0)),0))</f>
        <v/>
      </c>
      <c r="H68" s="78">
        <f>IF(OR($A68="",'Importar Reservas'!M60&lt;&gt;"Aprovado",$D68&lt;=0),"",MAX(0,IF($F68="Margem",$D68-$E68,$D68))*$G68)</f>
        <v/>
      </c>
      <c r="K68" s="78">
        <f>IF(J68="","",SUMIF(C:C,J68,H:H))</f>
        <v/>
      </c>
    </row>
    <row r="69" ht="15" customHeight="1" s="79">
      <c r="A69" s="78">
        <f>IF('Importar Reservas'!A61="","",'Importar Reservas'!A61)</f>
        <v/>
      </c>
      <c r="B69" s="78">
        <f>IF($A69="","",'Importar Reservas'!B61)</f>
        <v/>
      </c>
      <c r="C69" s="78">
        <f>IF($A69="","",'Importar Reservas'!Z61)</f>
        <v/>
      </c>
      <c r="D69" s="78">
        <f>IF($A69="","",IF('Importar Reservas'!O61="",0,'Importar Reservas'!O61))</f>
        <v/>
      </c>
      <c r="E69" s="78">
        <f>IF($A69="","",IF('Importar Reservas'!N61="",0,'Importar Reservas'!N61))</f>
        <v/>
      </c>
      <c r="F69" s="78">
        <f>IF($A69="","",IFERROR(INDEX(Configurações!$C$5:$C$100,MATCH($C69,Configurações!$A$5:$A$100,0)),"Margem"))</f>
        <v/>
      </c>
      <c r="G69" s="78">
        <f>IF($A69="","",IFERROR(INDEX(Configurações!$B$5:$B$100,MATCH($C69,Configurações!$A$5:$A$100,0)),0))</f>
        <v/>
      </c>
      <c r="H69" s="78">
        <f>IF(OR($A69="",'Importar Reservas'!M61&lt;&gt;"Aprovado",$D69&lt;=0),"",MAX(0,IF($F69="Margem",$D69-$E69,$D69))*$G69)</f>
        <v/>
      </c>
      <c r="K69" s="78">
        <f>IF(J69="","",SUMIF(C:C,J69,H:H))</f>
        <v/>
      </c>
    </row>
    <row r="70" ht="15" customHeight="1" s="79">
      <c r="A70" s="78">
        <f>IF('Importar Reservas'!A62="","",'Importar Reservas'!A62)</f>
        <v/>
      </c>
      <c r="B70" s="78">
        <f>IF($A70="","",'Importar Reservas'!B62)</f>
        <v/>
      </c>
      <c r="C70" s="78">
        <f>IF($A70="","",'Importar Reservas'!Z62)</f>
        <v/>
      </c>
      <c r="D70" s="78">
        <f>IF($A70="","",IF('Importar Reservas'!O62="",0,'Importar Reservas'!O62))</f>
        <v/>
      </c>
      <c r="E70" s="78">
        <f>IF($A70="","",IF('Importar Reservas'!N62="",0,'Importar Reservas'!N62))</f>
        <v/>
      </c>
      <c r="F70" s="78">
        <f>IF($A70="","",IFERROR(INDEX(Configurações!$C$5:$C$100,MATCH($C70,Configurações!$A$5:$A$100,0)),"Margem"))</f>
        <v/>
      </c>
      <c r="G70" s="78">
        <f>IF($A70="","",IFERROR(INDEX(Configurações!$B$5:$B$100,MATCH($C70,Configurações!$A$5:$A$100,0)),0))</f>
        <v/>
      </c>
      <c r="H70" s="78">
        <f>IF(OR($A70="",'Importar Reservas'!M62&lt;&gt;"Aprovado",$D70&lt;=0),"",MAX(0,IF($F70="Margem",$D70-$E70,$D70))*$G70)</f>
        <v/>
      </c>
      <c r="K70" s="78">
        <f>IF(J70="","",SUMIF(C:C,J70,H:H))</f>
        <v/>
      </c>
    </row>
    <row r="71" ht="15" customHeight="1" s="79">
      <c r="A71" s="78">
        <f>IF('Importar Reservas'!A63="","",'Importar Reservas'!A63)</f>
        <v/>
      </c>
      <c r="B71" s="78">
        <f>IF($A71="","",'Importar Reservas'!B63)</f>
        <v/>
      </c>
      <c r="C71" s="78">
        <f>IF($A71="","",'Importar Reservas'!Z63)</f>
        <v/>
      </c>
      <c r="D71" s="78">
        <f>IF($A71="","",IF('Importar Reservas'!O63="",0,'Importar Reservas'!O63))</f>
        <v/>
      </c>
      <c r="E71" s="78">
        <f>IF($A71="","",IF('Importar Reservas'!N63="",0,'Importar Reservas'!N63))</f>
        <v/>
      </c>
      <c r="F71" s="78">
        <f>IF($A71="","",IFERROR(INDEX(Configurações!$C$5:$C$100,MATCH($C71,Configurações!$A$5:$A$100,0)),"Margem"))</f>
        <v/>
      </c>
      <c r="G71" s="78">
        <f>IF($A71="","",IFERROR(INDEX(Configurações!$B$5:$B$100,MATCH($C71,Configurações!$A$5:$A$100,0)),0))</f>
        <v/>
      </c>
      <c r="H71" s="78">
        <f>IF(OR($A71="",'Importar Reservas'!M63&lt;&gt;"Aprovado",$D71&lt;=0),"",MAX(0,IF($F71="Margem",$D71-$E71,$D71))*$G71)</f>
        <v/>
      </c>
      <c r="K71" s="78">
        <f>IF(J71="","",SUMIF(C:C,J71,H:H))</f>
        <v/>
      </c>
    </row>
    <row r="72" ht="15" customHeight="1" s="79">
      <c r="A72" s="78">
        <f>IF('Importar Reservas'!A64="","",'Importar Reservas'!A64)</f>
        <v/>
      </c>
      <c r="B72" s="78">
        <f>IF($A72="","",'Importar Reservas'!B64)</f>
        <v/>
      </c>
      <c r="C72" s="78">
        <f>IF($A72="","",'Importar Reservas'!Z64)</f>
        <v/>
      </c>
      <c r="D72" s="78">
        <f>IF($A72="","",IF('Importar Reservas'!O64="",0,'Importar Reservas'!O64))</f>
        <v/>
      </c>
      <c r="E72" s="78">
        <f>IF($A72="","",IF('Importar Reservas'!N64="",0,'Importar Reservas'!N64))</f>
        <v/>
      </c>
      <c r="F72" s="78">
        <f>IF($A72="","",IFERROR(INDEX(Configurações!$C$5:$C$100,MATCH($C72,Configurações!$A$5:$A$100,0)),"Margem"))</f>
        <v/>
      </c>
      <c r="G72" s="78">
        <f>IF($A72="","",IFERROR(INDEX(Configurações!$B$5:$B$100,MATCH($C72,Configurações!$A$5:$A$100,0)),0))</f>
        <v/>
      </c>
      <c r="H72" s="78">
        <f>IF(OR($A72="",'Importar Reservas'!M64&lt;&gt;"Aprovado",$D72&lt;=0),"",MAX(0,IF($F72="Margem",$D72-$E72,$D72))*$G72)</f>
        <v/>
      </c>
      <c r="K72" s="78">
        <f>IF(J72="","",SUMIF(C:C,J72,H:H))</f>
        <v/>
      </c>
    </row>
    <row r="73" ht="15" customHeight="1" s="79">
      <c r="A73" s="78">
        <f>IF('Importar Reservas'!A65="","",'Importar Reservas'!A65)</f>
        <v/>
      </c>
      <c r="B73" s="78">
        <f>IF($A73="","",'Importar Reservas'!B65)</f>
        <v/>
      </c>
      <c r="C73" s="78">
        <f>IF($A73="","",'Importar Reservas'!Z65)</f>
        <v/>
      </c>
      <c r="D73" s="78">
        <f>IF($A73="","",IF('Importar Reservas'!O65="",0,'Importar Reservas'!O65))</f>
        <v/>
      </c>
      <c r="E73" s="78">
        <f>IF($A73="","",IF('Importar Reservas'!N65="",0,'Importar Reservas'!N65))</f>
        <v/>
      </c>
      <c r="F73" s="78">
        <f>IF($A73="","",IFERROR(INDEX(Configurações!$C$5:$C$100,MATCH($C73,Configurações!$A$5:$A$100,0)),"Margem"))</f>
        <v/>
      </c>
      <c r="G73" s="78">
        <f>IF($A73="","",IFERROR(INDEX(Configurações!$B$5:$B$100,MATCH($C73,Configurações!$A$5:$A$100,0)),0))</f>
        <v/>
      </c>
      <c r="H73" s="78">
        <f>IF(OR($A73="",'Importar Reservas'!M65&lt;&gt;"Aprovado",$D73&lt;=0),"",MAX(0,IF($F73="Margem",$D73-$E73,$D73))*$G73)</f>
        <v/>
      </c>
      <c r="K73" s="78">
        <f>IF(J73="","",SUMIF(C:C,J73,H:H))</f>
        <v/>
      </c>
    </row>
    <row r="74" ht="15" customHeight="1" s="79">
      <c r="A74" s="78">
        <f>IF('Importar Reservas'!A66="","",'Importar Reservas'!A66)</f>
        <v/>
      </c>
      <c r="B74" s="78">
        <f>IF($A74="","",'Importar Reservas'!B66)</f>
        <v/>
      </c>
      <c r="C74" s="78">
        <f>IF($A74="","",'Importar Reservas'!Z66)</f>
        <v/>
      </c>
      <c r="D74" s="78">
        <f>IF($A74="","",IF('Importar Reservas'!O66="",0,'Importar Reservas'!O66))</f>
        <v/>
      </c>
      <c r="E74" s="78">
        <f>IF($A74="","",IF('Importar Reservas'!N66="",0,'Importar Reservas'!N66))</f>
        <v/>
      </c>
      <c r="F74" s="78">
        <f>IF($A74="","",IFERROR(INDEX(Configurações!$C$5:$C$100,MATCH($C74,Configurações!$A$5:$A$100,0)),"Margem"))</f>
        <v/>
      </c>
      <c r="G74" s="78">
        <f>IF($A74="","",IFERROR(INDEX(Configurações!$B$5:$B$100,MATCH($C74,Configurações!$A$5:$A$100,0)),0))</f>
        <v/>
      </c>
      <c r="H74" s="78">
        <f>IF(OR($A74="",'Importar Reservas'!M66&lt;&gt;"Aprovado",$D74&lt;=0),"",MAX(0,IF($F74="Margem",$D74-$E74,$D74))*$G74)</f>
        <v/>
      </c>
      <c r="K74" s="78">
        <f>IF(J74="","",SUMIF(C:C,J74,H:H))</f>
        <v/>
      </c>
    </row>
    <row r="75" ht="15" customHeight="1" s="79">
      <c r="A75" s="78">
        <f>IF('Importar Reservas'!A67="","",'Importar Reservas'!A67)</f>
        <v/>
      </c>
      <c r="B75" s="78">
        <f>IF($A75="","",'Importar Reservas'!B67)</f>
        <v/>
      </c>
      <c r="C75" s="78">
        <f>IF($A75="","",'Importar Reservas'!Z67)</f>
        <v/>
      </c>
      <c r="D75" s="78">
        <f>IF($A75="","",IF('Importar Reservas'!O67="",0,'Importar Reservas'!O67))</f>
        <v/>
      </c>
      <c r="E75" s="78">
        <f>IF($A75="","",IF('Importar Reservas'!N67="",0,'Importar Reservas'!N67))</f>
        <v/>
      </c>
      <c r="F75" s="78">
        <f>IF($A75="","",IFERROR(INDEX(Configurações!$C$5:$C$100,MATCH($C75,Configurações!$A$5:$A$100,0)),"Margem"))</f>
        <v/>
      </c>
      <c r="G75" s="78">
        <f>IF($A75="","",IFERROR(INDEX(Configurações!$B$5:$B$100,MATCH($C75,Configurações!$A$5:$A$100,0)),0))</f>
        <v/>
      </c>
      <c r="H75" s="78">
        <f>IF(OR($A75="",'Importar Reservas'!M67&lt;&gt;"Aprovado",$D75&lt;=0),"",MAX(0,IF($F75="Margem",$D75-$E75,$D75))*$G75)</f>
        <v/>
      </c>
      <c r="K75" s="78">
        <f>IF(J75="","",SUMIF(C:C,J75,H:H))</f>
        <v/>
      </c>
    </row>
    <row r="76" ht="15" customHeight="1" s="79">
      <c r="A76" s="78">
        <f>IF('Importar Reservas'!A68="","",'Importar Reservas'!A68)</f>
        <v/>
      </c>
      <c r="B76" s="78">
        <f>IF($A76="","",'Importar Reservas'!B68)</f>
        <v/>
      </c>
      <c r="C76" s="78">
        <f>IF($A76="","",'Importar Reservas'!Z68)</f>
        <v/>
      </c>
      <c r="D76" s="78">
        <f>IF($A76="","",IF('Importar Reservas'!O68="",0,'Importar Reservas'!O68))</f>
        <v/>
      </c>
      <c r="E76" s="78">
        <f>IF($A76="","",IF('Importar Reservas'!N68="",0,'Importar Reservas'!N68))</f>
        <v/>
      </c>
      <c r="F76" s="78">
        <f>IF($A76="","",IFERROR(INDEX(Configurações!$C$5:$C$100,MATCH($C76,Configurações!$A$5:$A$100,0)),"Margem"))</f>
        <v/>
      </c>
      <c r="G76" s="78">
        <f>IF($A76="","",IFERROR(INDEX(Configurações!$B$5:$B$100,MATCH($C76,Configurações!$A$5:$A$100,0)),0))</f>
        <v/>
      </c>
      <c r="H76" s="78">
        <f>IF(OR($A76="",'Importar Reservas'!M68&lt;&gt;"Aprovado",$D76&lt;=0),"",MAX(0,IF($F76="Margem",$D76-$E76,$D76))*$G76)</f>
        <v/>
      </c>
      <c r="K76" s="78">
        <f>IF(J76="","",SUMIF(C:C,J76,H:H))</f>
        <v/>
      </c>
    </row>
    <row r="77" ht="15" customHeight="1" s="79">
      <c r="A77" s="78">
        <f>IF('Importar Reservas'!A69="","",'Importar Reservas'!A69)</f>
        <v/>
      </c>
      <c r="B77" s="78">
        <f>IF($A77="","",'Importar Reservas'!B69)</f>
        <v/>
      </c>
      <c r="C77" s="78">
        <f>IF($A77="","",'Importar Reservas'!Z69)</f>
        <v/>
      </c>
      <c r="D77" s="78">
        <f>IF($A77="","",IF('Importar Reservas'!O69="",0,'Importar Reservas'!O69))</f>
        <v/>
      </c>
      <c r="E77" s="78">
        <f>IF($A77="","",IF('Importar Reservas'!N69="",0,'Importar Reservas'!N69))</f>
        <v/>
      </c>
      <c r="F77" s="78">
        <f>IF($A77="","",IFERROR(INDEX(Configurações!$C$5:$C$100,MATCH($C77,Configurações!$A$5:$A$100,0)),"Margem"))</f>
        <v/>
      </c>
      <c r="G77" s="78">
        <f>IF($A77="","",IFERROR(INDEX(Configurações!$B$5:$B$100,MATCH($C77,Configurações!$A$5:$A$100,0)),0))</f>
        <v/>
      </c>
      <c r="H77" s="78">
        <f>IF(OR($A77="",'Importar Reservas'!M69&lt;&gt;"Aprovado",$D77&lt;=0),"",MAX(0,IF($F77="Margem",$D77-$E77,$D77))*$G77)</f>
        <v/>
      </c>
      <c r="K77" s="78">
        <f>IF(J77="","",SUMIF(C:C,J77,H:H))</f>
        <v/>
      </c>
    </row>
    <row r="78" ht="15" customHeight="1" s="79">
      <c r="A78" s="78">
        <f>IF('Importar Reservas'!A70="","",'Importar Reservas'!A70)</f>
        <v/>
      </c>
      <c r="B78" s="78">
        <f>IF($A78="","",'Importar Reservas'!B70)</f>
        <v/>
      </c>
      <c r="C78" s="78">
        <f>IF($A78="","",'Importar Reservas'!Z70)</f>
        <v/>
      </c>
      <c r="D78" s="78">
        <f>IF($A78="","",IF('Importar Reservas'!O70="",0,'Importar Reservas'!O70))</f>
        <v/>
      </c>
      <c r="E78" s="78">
        <f>IF($A78="","",IF('Importar Reservas'!N70="",0,'Importar Reservas'!N70))</f>
        <v/>
      </c>
      <c r="F78" s="78">
        <f>IF($A78="","",IFERROR(INDEX(Configurações!$C$5:$C$100,MATCH($C78,Configurações!$A$5:$A$100,0)),"Margem"))</f>
        <v/>
      </c>
      <c r="G78" s="78">
        <f>IF($A78="","",IFERROR(INDEX(Configurações!$B$5:$B$100,MATCH($C78,Configurações!$A$5:$A$100,0)),0))</f>
        <v/>
      </c>
      <c r="H78" s="78">
        <f>IF(OR($A78="",'Importar Reservas'!M70&lt;&gt;"Aprovado",$D78&lt;=0),"",MAX(0,IF($F78="Margem",$D78-$E78,$D78))*$G78)</f>
        <v/>
      </c>
      <c r="K78" s="78">
        <f>IF(J78="","",SUMIF(C:C,J78,H:H))</f>
        <v/>
      </c>
    </row>
    <row r="79" ht="15" customHeight="1" s="79">
      <c r="A79" s="78">
        <f>IF('Importar Reservas'!A71="","",'Importar Reservas'!A71)</f>
        <v/>
      </c>
      <c r="B79" s="78">
        <f>IF($A79="","",'Importar Reservas'!B71)</f>
        <v/>
      </c>
      <c r="C79" s="78">
        <f>IF($A79="","",'Importar Reservas'!Z71)</f>
        <v/>
      </c>
      <c r="D79" s="78">
        <f>IF($A79="","",IF('Importar Reservas'!O71="",0,'Importar Reservas'!O71))</f>
        <v/>
      </c>
      <c r="E79" s="78">
        <f>IF($A79="","",IF('Importar Reservas'!N71="",0,'Importar Reservas'!N71))</f>
        <v/>
      </c>
      <c r="F79" s="78">
        <f>IF($A79="","",IFERROR(INDEX(Configurações!$C$5:$C$100,MATCH($C79,Configurações!$A$5:$A$100,0)),"Margem"))</f>
        <v/>
      </c>
      <c r="G79" s="78">
        <f>IF($A79="","",IFERROR(INDEX(Configurações!$B$5:$B$100,MATCH($C79,Configurações!$A$5:$A$100,0)),0))</f>
        <v/>
      </c>
      <c r="H79" s="78">
        <f>IF(OR($A79="",'Importar Reservas'!M71&lt;&gt;"Aprovado",$D79&lt;=0),"",MAX(0,IF($F79="Margem",$D79-$E79,$D79))*$G79)</f>
        <v/>
      </c>
      <c r="K79" s="78">
        <f>IF(J79="","",SUMIF(C:C,J79,H:H))</f>
        <v/>
      </c>
    </row>
    <row r="80" ht="15" customHeight="1" s="79">
      <c r="A80" s="78">
        <f>IF('Importar Reservas'!A72="","",'Importar Reservas'!A72)</f>
        <v/>
      </c>
      <c r="B80" s="78">
        <f>IF($A80="","",'Importar Reservas'!B72)</f>
        <v/>
      </c>
      <c r="C80" s="78">
        <f>IF($A80="","",'Importar Reservas'!Z72)</f>
        <v/>
      </c>
      <c r="D80" s="78">
        <f>IF($A80="","",IF('Importar Reservas'!O72="",0,'Importar Reservas'!O72))</f>
        <v/>
      </c>
      <c r="E80" s="78">
        <f>IF($A80="","",IF('Importar Reservas'!N72="",0,'Importar Reservas'!N72))</f>
        <v/>
      </c>
      <c r="F80" s="78">
        <f>IF($A80="","",IFERROR(INDEX(Configurações!$C$5:$C$100,MATCH($C80,Configurações!$A$5:$A$100,0)),"Margem"))</f>
        <v/>
      </c>
      <c r="G80" s="78">
        <f>IF($A80="","",IFERROR(INDEX(Configurações!$B$5:$B$100,MATCH($C80,Configurações!$A$5:$A$100,0)),0))</f>
        <v/>
      </c>
      <c r="H80" s="78">
        <f>IF(OR($A80="",'Importar Reservas'!M72&lt;&gt;"Aprovado",$D80&lt;=0),"",MAX(0,IF($F80="Margem",$D80-$E80,$D80))*$G80)</f>
        <v/>
      </c>
      <c r="K80" s="78">
        <f>IF(J80="","",SUMIF(C:C,J80,H:H))</f>
        <v/>
      </c>
    </row>
    <row r="81" ht="15" customHeight="1" s="79">
      <c r="A81" s="78">
        <f>IF('Importar Reservas'!A73="","",'Importar Reservas'!A73)</f>
        <v/>
      </c>
      <c r="B81" s="78">
        <f>IF($A81="","",'Importar Reservas'!B73)</f>
        <v/>
      </c>
      <c r="C81" s="78">
        <f>IF($A81="","",'Importar Reservas'!Z73)</f>
        <v/>
      </c>
      <c r="D81" s="78">
        <f>IF($A81="","",IF('Importar Reservas'!O73="",0,'Importar Reservas'!O73))</f>
        <v/>
      </c>
      <c r="E81" s="78">
        <f>IF($A81="","",IF('Importar Reservas'!N73="",0,'Importar Reservas'!N73))</f>
        <v/>
      </c>
      <c r="F81" s="78">
        <f>IF($A81="","",IFERROR(INDEX(Configurações!$C$5:$C$100,MATCH($C81,Configurações!$A$5:$A$100,0)),"Margem"))</f>
        <v/>
      </c>
      <c r="G81" s="78">
        <f>IF($A81="","",IFERROR(INDEX(Configurações!$B$5:$B$100,MATCH($C81,Configurações!$A$5:$A$100,0)),0))</f>
        <v/>
      </c>
      <c r="H81" s="78">
        <f>IF(OR($A81="",'Importar Reservas'!M73&lt;&gt;"Aprovado",$D81&lt;=0),"",MAX(0,IF($F81="Margem",$D81-$E81,$D81))*$G81)</f>
        <v/>
      </c>
      <c r="K81" s="78">
        <f>IF(J81="","",SUMIF(C:C,J81,H:H))</f>
        <v/>
      </c>
    </row>
    <row r="82" ht="15" customHeight="1" s="79">
      <c r="A82" s="78">
        <f>IF('Importar Reservas'!A74="","",'Importar Reservas'!A74)</f>
        <v/>
      </c>
      <c r="B82" s="78">
        <f>IF($A82="","",'Importar Reservas'!B74)</f>
        <v/>
      </c>
      <c r="C82" s="78">
        <f>IF($A82="","",'Importar Reservas'!Z74)</f>
        <v/>
      </c>
      <c r="D82" s="78">
        <f>IF($A82="","",IF('Importar Reservas'!O74="",0,'Importar Reservas'!O74))</f>
        <v/>
      </c>
      <c r="E82" s="78">
        <f>IF($A82="","",IF('Importar Reservas'!N74="",0,'Importar Reservas'!N74))</f>
        <v/>
      </c>
      <c r="F82" s="78">
        <f>IF($A82="","",IFERROR(INDEX(Configurações!$C$5:$C$100,MATCH($C82,Configurações!$A$5:$A$100,0)),"Margem"))</f>
        <v/>
      </c>
      <c r="G82" s="78">
        <f>IF($A82="","",IFERROR(INDEX(Configurações!$B$5:$B$100,MATCH($C82,Configurações!$A$5:$A$100,0)),0))</f>
        <v/>
      </c>
      <c r="H82" s="78">
        <f>IF(OR($A82="",'Importar Reservas'!M74&lt;&gt;"Aprovado",$D82&lt;=0),"",MAX(0,IF($F82="Margem",$D82-$E82,$D82))*$G82)</f>
        <v/>
      </c>
      <c r="K82" s="78">
        <f>IF(J82="","",SUMIF(C:C,J82,H:H))</f>
        <v/>
      </c>
    </row>
    <row r="83" ht="15" customHeight="1" s="79">
      <c r="A83" s="78">
        <f>IF('Importar Reservas'!A75="","",'Importar Reservas'!A75)</f>
        <v/>
      </c>
      <c r="B83" s="78">
        <f>IF($A83="","",'Importar Reservas'!B75)</f>
        <v/>
      </c>
      <c r="C83" s="78">
        <f>IF($A83="","",'Importar Reservas'!Z75)</f>
        <v/>
      </c>
      <c r="D83" s="78">
        <f>IF($A83="","",IF('Importar Reservas'!O75="",0,'Importar Reservas'!O75))</f>
        <v/>
      </c>
      <c r="E83" s="78">
        <f>IF($A83="","",IF('Importar Reservas'!N75="",0,'Importar Reservas'!N75))</f>
        <v/>
      </c>
      <c r="F83" s="78">
        <f>IF($A83="","",IFERROR(INDEX(Configurações!$C$5:$C$100,MATCH($C83,Configurações!$A$5:$A$100,0)),"Margem"))</f>
        <v/>
      </c>
      <c r="G83" s="78">
        <f>IF($A83="","",IFERROR(INDEX(Configurações!$B$5:$B$100,MATCH($C83,Configurações!$A$5:$A$100,0)),0))</f>
        <v/>
      </c>
      <c r="H83" s="78">
        <f>IF(OR($A83="",'Importar Reservas'!M75&lt;&gt;"Aprovado",$D83&lt;=0),"",MAX(0,IF($F83="Margem",$D83-$E83,$D83))*$G83)</f>
        <v/>
      </c>
      <c r="K83" s="78">
        <f>IF(J83="","",SUMIF(C:C,J83,H:H))</f>
        <v/>
      </c>
    </row>
    <row r="84" ht="15" customHeight="1" s="79">
      <c r="A84" s="78">
        <f>IF('Importar Reservas'!A76="","",'Importar Reservas'!A76)</f>
        <v/>
      </c>
      <c r="B84" s="78">
        <f>IF($A84="","",'Importar Reservas'!B76)</f>
        <v/>
      </c>
      <c r="C84" s="78">
        <f>IF($A84="","",'Importar Reservas'!Z76)</f>
        <v/>
      </c>
      <c r="D84" s="78">
        <f>IF($A84="","",IF('Importar Reservas'!O76="",0,'Importar Reservas'!O76))</f>
        <v/>
      </c>
      <c r="E84" s="78">
        <f>IF($A84="","",IF('Importar Reservas'!N76="",0,'Importar Reservas'!N76))</f>
        <v/>
      </c>
      <c r="F84" s="78">
        <f>IF($A84="","",IFERROR(INDEX(Configurações!$C$5:$C$100,MATCH($C84,Configurações!$A$5:$A$100,0)),"Margem"))</f>
        <v/>
      </c>
      <c r="G84" s="78">
        <f>IF($A84="","",IFERROR(INDEX(Configurações!$B$5:$B$100,MATCH($C84,Configurações!$A$5:$A$100,0)),0))</f>
        <v/>
      </c>
      <c r="H84" s="78">
        <f>IF(OR($A84="",'Importar Reservas'!M76&lt;&gt;"Aprovado",$D84&lt;=0),"",MAX(0,IF($F84="Margem",$D84-$E84,$D84))*$G84)</f>
        <v/>
      </c>
      <c r="K84" s="78">
        <f>IF(J84="","",SUMIF(C:C,J84,H:H))</f>
        <v/>
      </c>
    </row>
    <row r="85" ht="15" customHeight="1" s="79">
      <c r="A85" s="78">
        <f>IF('Importar Reservas'!A77="","",'Importar Reservas'!A77)</f>
        <v/>
      </c>
      <c r="B85" s="78">
        <f>IF($A85="","",'Importar Reservas'!B77)</f>
        <v/>
      </c>
      <c r="C85" s="78">
        <f>IF($A85="","",'Importar Reservas'!Z77)</f>
        <v/>
      </c>
      <c r="D85" s="78">
        <f>IF($A85="","",IF('Importar Reservas'!O77="",0,'Importar Reservas'!O77))</f>
        <v/>
      </c>
      <c r="E85" s="78">
        <f>IF($A85="","",IF('Importar Reservas'!N77="",0,'Importar Reservas'!N77))</f>
        <v/>
      </c>
      <c r="F85" s="78">
        <f>IF($A85="","",IFERROR(INDEX(Configurações!$C$5:$C$100,MATCH($C85,Configurações!$A$5:$A$100,0)),"Margem"))</f>
        <v/>
      </c>
      <c r="G85" s="78">
        <f>IF($A85="","",IFERROR(INDEX(Configurações!$B$5:$B$100,MATCH($C85,Configurações!$A$5:$A$100,0)),0))</f>
        <v/>
      </c>
      <c r="H85" s="78">
        <f>IF(OR($A85="",'Importar Reservas'!M77&lt;&gt;"Aprovado",$D85&lt;=0),"",MAX(0,IF($F85="Margem",$D85-$E85,$D85))*$G85)</f>
        <v/>
      </c>
      <c r="K85" s="78">
        <f>IF(J85="","",SUMIF(C:C,J85,H:H))</f>
        <v/>
      </c>
    </row>
    <row r="86" ht="15" customHeight="1" s="79">
      <c r="A86" s="78">
        <f>IF('Importar Reservas'!A78="","",'Importar Reservas'!A78)</f>
        <v/>
      </c>
      <c r="B86" s="78">
        <f>IF($A86="","",'Importar Reservas'!B78)</f>
        <v/>
      </c>
      <c r="C86" s="78">
        <f>IF($A86="","",'Importar Reservas'!Z78)</f>
        <v/>
      </c>
      <c r="D86" s="78">
        <f>IF($A86="","",IF('Importar Reservas'!O78="",0,'Importar Reservas'!O78))</f>
        <v/>
      </c>
      <c r="E86" s="78">
        <f>IF($A86="","",IF('Importar Reservas'!N78="",0,'Importar Reservas'!N78))</f>
        <v/>
      </c>
      <c r="F86" s="78">
        <f>IF($A86="","",IFERROR(INDEX(Configurações!$C$5:$C$100,MATCH($C86,Configurações!$A$5:$A$100,0)),"Margem"))</f>
        <v/>
      </c>
      <c r="G86" s="78">
        <f>IF($A86="","",IFERROR(INDEX(Configurações!$B$5:$B$100,MATCH($C86,Configurações!$A$5:$A$100,0)),0))</f>
        <v/>
      </c>
      <c r="H86" s="78">
        <f>IF(OR($A86="",'Importar Reservas'!M78&lt;&gt;"Aprovado",$D86&lt;=0),"",MAX(0,IF($F86="Margem",$D86-$E86,$D86))*$G86)</f>
        <v/>
      </c>
      <c r="K86" s="78">
        <f>IF(J86="","",SUMIF(C:C,J86,H:H))</f>
        <v/>
      </c>
    </row>
    <row r="87" ht="15" customHeight="1" s="79">
      <c r="A87" s="78">
        <f>IF('Importar Reservas'!A79="","",'Importar Reservas'!A79)</f>
        <v/>
      </c>
      <c r="B87" s="78">
        <f>IF($A87="","",'Importar Reservas'!B79)</f>
        <v/>
      </c>
      <c r="C87" s="78">
        <f>IF($A87="","",'Importar Reservas'!Z79)</f>
        <v/>
      </c>
      <c r="D87" s="78">
        <f>IF($A87="","",IF('Importar Reservas'!O79="",0,'Importar Reservas'!O79))</f>
        <v/>
      </c>
      <c r="E87" s="78">
        <f>IF($A87="","",IF('Importar Reservas'!N79="",0,'Importar Reservas'!N79))</f>
        <v/>
      </c>
      <c r="F87" s="78">
        <f>IF($A87="","",IFERROR(INDEX(Configurações!$C$5:$C$100,MATCH($C87,Configurações!$A$5:$A$100,0)),"Margem"))</f>
        <v/>
      </c>
      <c r="G87" s="78">
        <f>IF($A87="","",IFERROR(INDEX(Configurações!$B$5:$B$100,MATCH($C87,Configurações!$A$5:$A$100,0)),0))</f>
        <v/>
      </c>
      <c r="H87" s="78">
        <f>IF(OR($A87="",'Importar Reservas'!M79&lt;&gt;"Aprovado",$D87&lt;=0),"",MAX(0,IF($F87="Margem",$D87-$E87,$D87))*$G87)</f>
        <v/>
      </c>
      <c r="K87" s="78">
        <f>IF(J87="","",SUMIF(C:C,J87,H:H))</f>
        <v/>
      </c>
    </row>
    <row r="88" ht="15" customHeight="1" s="79">
      <c r="A88" s="78">
        <f>IF('Importar Reservas'!A80="","",'Importar Reservas'!A80)</f>
        <v/>
      </c>
      <c r="B88" s="78">
        <f>IF($A88="","",'Importar Reservas'!B80)</f>
        <v/>
      </c>
      <c r="C88" s="78">
        <f>IF($A88="","",'Importar Reservas'!Z80)</f>
        <v/>
      </c>
      <c r="D88" s="78">
        <f>IF($A88="","",IF('Importar Reservas'!O80="",0,'Importar Reservas'!O80))</f>
        <v/>
      </c>
      <c r="E88" s="78">
        <f>IF($A88="","",IF('Importar Reservas'!N80="",0,'Importar Reservas'!N80))</f>
        <v/>
      </c>
      <c r="F88" s="78">
        <f>IF($A88="","",IFERROR(INDEX(Configurações!$C$5:$C$100,MATCH($C88,Configurações!$A$5:$A$100,0)),"Margem"))</f>
        <v/>
      </c>
      <c r="G88" s="78">
        <f>IF($A88="","",IFERROR(INDEX(Configurações!$B$5:$B$100,MATCH($C88,Configurações!$A$5:$A$100,0)),0))</f>
        <v/>
      </c>
      <c r="H88" s="78">
        <f>IF(OR($A88="",'Importar Reservas'!M80&lt;&gt;"Aprovado",$D88&lt;=0),"",MAX(0,IF($F88="Margem",$D88-$E88,$D88))*$G88)</f>
        <v/>
      </c>
      <c r="K88" s="78">
        <f>IF(J88="","",SUMIF(C:C,J88,H:H))</f>
        <v/>
      </c>
    </row>
    <row r="89" ht="15" customHeight="1" s="79">
      <c r="A89" s="78">
        <f>IF('Importar Reservas'!A81="","",'Importar Reservas'!A81)</f>
        <v/>
      </c>
      <c r="B89" s="78">
        <f>IF($A89="","",'Importar Reservas'!B81)</f>
        <v/>
      </c>
      <c r="C89" s="78">
        <f>IF($A89="","",'Importar Reservas'!Z81)</f>
        <v/>
      </c>
      <c r="D89" s="78">
        <f>IF($A89="","",IF('Importar Reservas'!O81="",0,'Importar Reservas'!O81))</f>
        <v/>
      </c>
      <c r="E89" s="78">
        <f>IF($A89="","",IF('Importar Reservas'!N81="",0,'Importar Reservas'!N81))</f>
        <v/>
      </c>
      <c r="F89" s="78">
        <f>IF($A89="","",IFERROR(INDEX(Configurações!$C$5:$C$100,MATCH($C89,Configurações!$A$5:$A$100,0)),"Margem"))</f>
        <v/>
      </c>
      <c r="G89" s="78">
        <f>IF($A89="","",IFERROR(INDEX(Configurações!$B$5:$B$100,MATCH($C89,Configurações!$A$5:$A$100,0)),0))</f>
        <v/>
      </c>
      <c r="H89" s="78">
        <f>IF(OR($A89="",'Importar Reservas'!M81&lt;&gt;"Aprovado",$D89&lt;=0),"",MAX(0,IF($F89="Margem",$D89-$E89,$D89))*$G89)</f>
        <v/>
      </c>
      <c r="K89" s="78">
        <f>IF(J89="","",SUMIF(C:C,J89,H:H))</f>
        <v/>
      </c>
    </row>
    <row r="90" ht="15" customHeight="1" s="79">
      <c r="A90" s="78">
        <f>IF('Importar Reservas'!A82="","",'Importar Reservas'!A82)</f>
        <v/>
      </c>
      <c r="B90" s="78">
        <f>IF($A90="","",'Importar Reservas'!B82)</f>
        <v/>
      </c>
      <c r="C90" s="78">
        <f>IF($A90="","",'Importar Reservas'!Z82)</f>
        <v/>
      </c>
      <c r="D90" s="78">
        <f>IF($A90="","",IF('Importar Reservas'!O82="",0,'Importar Reservas'!O82))</f>
        <v/>
      </c>
      <c r="E90" s="78">
        <f>IF($A90="","",IF('Importar Reservas'!N82="",0,'Importar Reservas'!N82))</f>
        <v/>
      </c>
      <c r="F90" s="78">
        <f>IF($A90="","",IFERROR(INDEX(Configurações!$C$5:$C$100,MATCH($C90,Configurações!$A$5:$A$100,0)),"Margem"))</f>
        <v/>
      </c>
      <c r="G90" s="78">
        <f>IF($A90="","",IFERROR(INDEX(Configurações!$B$5:$B$100,MATCH($C90,Configurações!$A$5:$A$100,0)),0))</f>
        <v/>
      </c>
      <c r="H90" s="78">
        <f>IF(OR($A90="",'Importar Reservas'!M82&lt;&gt;"Aprovado",$D90&lt;=0),"",MAX(0,IF($F90="Margem",$D90-$E90,$D90))*$G90)</f>
        <v/>
      </c>
      <c r="K90" s="78">
        <f>IF(J90="","",SUMIF(C:C,J90,H:H))</f>
        <v/>
      </c>
    </row>
    <row r="91" ht="15" customHeight="1" s="79">
      <c r="A91" s="78">
        <f>IF('Importar Reservas'!A83="","",'Importar Reservas'!A83)</f>
        <v/>
      </c>
      <c r="B91" s="78">
        <f>IF($A91="","",'Importar Reservas'!B83)</f>
        <v/>
      </c>
      <c r="C91" s="78">
        <f>IF($A91="","",'Importar Reservas'!Z83)</f>
        <v/>
      </c>
      <c r="D91" s="78">
        <f>IF($A91="","",IF('Importar Reservas'!O83="",0,'Importar Reservas'!O83))</f>
        <v/>
      </c>
      <c r="E91" s="78">
        <f>IF($A91="","",IF('Importar Reservas'!N83="",0,'Importar Reservas'!N83))</f>
        <v/>
      </c>
      <c r="F91" s="78">
        <f>IF($A91="","",IFERROR(INDEX(Configurações!$C$5:$C$100,MATCH($C91,Configurações!$A$5:$A$100,0)),"Margem"))</f>
        <v/>
      </c>
      <c r="G91" s="78">
        <f>IF($A91="","",IFERROR(INDEX(Configurações!$B$5:$B$100,MATCH($C91,Configurações!$A$5:$A$100,0)),0))</f>
        <v/>
      </c>
      <c r="H91" s="78">
        <f>IF(OR($A91="",'Importar Reservas'!M83&lt;&gt;"Aprovado",$D91&lt;=0),"",MAX(0,IF($F91="Margem",$D91-$E91,$D91))*$G91)</f>
        <v/>
      </c>
      <c r="K91" s="78">
        <f>IF(J91="","",SUMIF(C:C,J91,H:H))</f>
        <v/>
      </c>
    </row>
    <row r="92" ht="15" customHeight="1" s="79">
      <c r="A92" s="78">
        <f>IF('Importar Reservas'!A84="","",'Importar Reservas'!A84)</f>
        <v/>
      </c>
      <c r="B92" s="78">
        <f>IF($A92="","",'Importar Reservas'!B84)</f>
        <v/>
      </c>
      <c r="C92" s="78">
        <f>IF($A92="","",'Importar Reservas'!Z84)</f>
        <v/>
      </c>
      <c r="D92" s="78">
        <f>IF($A92="","",IF('Importar Reservas'!O84="",0,'Importar Reservas'!O84))</f>
        <v/>
      </c>
      <c r="E92" s="78">
        <f>IF($A92="","",IF('Importar Reservas'!N84="",0,'Importar Reservas'!N84))</f>
        <v/>
      </c>
      <c r="F92" s="78">
        <f>IF($A92="","",IFERROR(INDEX(Configurações!$C$5:$C$100,MATCH($C92,Configurações!$A$5:$A$100,0)),"Margem"))</f>
        <v/>
      </c>
      <c r="G92" s="78">
        <f>IF($A92="","",IFERROR(INDEX(Configurações!$B$5:$B$100,MATCH($C92,Configurações!$A$5:$A$100,0)),0))</f>
        <v/>
      </c>
      <c r="H92" s="78">
        <f>IF(OR($A92="",'Importar Reservas'!M84&lt;&gt;"Aprovado",$D92&lt;=0),"",MAX(0,IF($F92="Margem",$D92-$E92,$D92))*$G92)</f>
        <v/>
      </c>
      <c r="K92" s="78">
        <f>IF(J92="","",SUMIF(C:C,J92,H:H))</f>
        <v/>
      </c>
    </row>
    <row r="93" ht="15" customHeight="1" s="79">
      <c r="A93" s="78">
        <f>IF('Importar Reservas'!A85="","",'Importar Reservas'!A85)</f>
        <v/>
      </c>
      <c r="B93" s="78">
        <f>IF($A93="","",'Importar Reservas'!B85)</f>
        <v/>
      </c>
      <c r="C93" s="78">
        <f>IF($A93="","",'Importar Reservas'!Z85)</f>
        <v/>
      </c>
      <c r="D93" s="78">
        <f>IF($A93="","",IF('Importar Reservas'!O85="",0,'Importar Reservas'!O85))</f>
        <v/>
      </c>
      <c r="E93" s="78">
        <f>IF($A93="","",IF('Importar Reservas'!N85="",0,'Importar Reservas'!N85))</f>
        <v/>
      </c>
      <c r="F93" s="78">
        <f>IF($A93="","",IFERROR(INDEX(Configurações!$C$5:$C$100,MATCH($C93,Configurações!$A$5:$A$100,0)),"Margem"))</f>
        <v/>
      </c>
      <c r="G93" s="78">
        <f>IF($A93="","",IFERROR(INDEX(Configurações!$B$5:$B$100,MATCH($C93,Configurações!$A$5:$A$100,0)),0))</f>
        <v/>
      </c>
      <c r="H93" s="78">
        <f>IF(OR($A93="",'Importar Reservas'!M85&lt;&gt;"Aprovado",$D93&lt;=0),"",MAX(0,IF($F93="Margem",$D93-$E93,$D93))*$G93)</f>
        <v/>
      </c>
      <c r="K93" s="78">
        <f>IF(J93="","",SUMIF(C:C,J93,H:H))</f>
        <v/>
      </c>
    </row>
    <row r="94" ht="15" customHeight="1" s="79">
      <c r="A94" s="78">
        <f>IF('Importar Reservas'!A86="","",'Importar Reservas'!A86)</f>
        <v/>
      </c>
      <c r="B94" s="78">
        <f>IF($A94="","",'Importar Reservas'!B86)</f>
        <v/>
      </c>
      <c r="C94" s="78">
        <f>IF($A94="","",'Importar Reservas'!Z86)</f>
        <v/>
      </c>
      <c r="D94" s="78">
        <f>IF($A94="","",IF('Importar Reservas'!O86="",0,'Importar Reservas'!O86))</f>
        <v/>
      </c>
      <c r="E94" s="78">
        <f>IF($A94="","",IF('Importar Reservas'!N86="",0,'Importar Reservas'!N86))</f>
        <v/>
      </c>
      <c r="F94" s="78">
        <f>IF($A94="","",IFERROR(INDEX(Configurações!$C$5:$C$100,MATCH($C94,Configurações!$A$5:$A$100,0)),"Margem"))</f>
        <v/>
      </c>
      <c r="G94" s="78">
        <f>IF($A94="","",IFERROR(INDEX(Configurações!$B$5:$B$100,MATCH($C94,Configurações!$A$5:$A$100,0)),0))</f>
        <v/>
      </c>
      <c r="H94" s="78">
        <f>IF(OR($A94="",'Importar Reservas'!M86&lt;&gt;"Aprovado",$D94&lt;=0),"",MAX(0,IF($F94="Margem",$D94-$E94,$D94))*$G94)</f>
        <v/>
      </c>
      <c r="K94" s="78">
        <f>IF(J94="","",SUMIF(C:C,J94,H:H))</f>
        <v/>
      </c>
    </row>
    <row r="95" ht="15" customHeight="1" s="79">
      <c r="A95" s="78">
        <f>IF('Importar Reservas'!A87="","",'Importar Reservas'!A87)</f>
        <v/>
      </c>
      <c r="B95" s="78">
        <f>IF($A95="","",'Importar Reservas'!B87)</f>
        <v/>
      </c>
      <c r="C95" s="78">
        <f>IF($A95="","",'Importar Reservas'!Z87)</f>
        <v/>
      </c>
      <c r="D95" s="78">
        <f>IF($A95="","",IF('Importar Reservas'!O87="",0,'Importar Reservas'!O87))</f>
        <v/>
      </c>
      <c r="E95" s="78">
        <f>IF($A95="","",IF('Importar Reservas'!N87="",0,'Importar Reservas'!N87))</f>
        <v/>
      </c>
      <c r="F95" s="78">
        <f>IF($A95="","",IFERROR(INDEX(Configurações!$C$5:$C$100,MATCH($C95,Configurações!$A$5:$A$100,0)),"Margem"))</f>
        <v/>
      </c>
      <c r="G95" s="78">
        <f>IF($A95="","",IFERROR(INDEX(Configurações!$B$5:$B$100,MATCH($C95,Configurações!$A$5:$A$100,0)),0))</f>
        <v/>
      </c>
      <c r="H95" s="78">
        <f>IF(OR($A95="",'Importar Reservas'!M87&lt;&gt;"Aprovado",$D95&lt;=0),"",MAX(0,IF($F95="Margem",$D95-$E95,$D95))*$G95)</f>
        <v/>
      </c>
      <c r="K95" s="78">
        <f>IF(J95="","",SUMIF(C:C,J95,H:H))</f>
        <v/>
      </c>
    </row>
    <row r="96" ht="15" customHeight="1" s="79">
      <c r="A96" s="78">
        <f>IF('Importar Reservas'!A88="","",'Importar Reservas'!A88)</f>
        <v/>
      </c>
      <c r="B96" s="78">
        <f>IF($A96="","",'Importar Reservas'!B88)</f>
        <v/>
      </c>
      <c r="C96" s="78">
        <f>IF($A96="","",'Importar Reservas'!Z88)</f>
        <v/>
      </c>
      <c r="D96" s="78">
        <f>IF($A96="","",IF('Importar Reservas'!O88="",0,'Importar Reservas'!O88))</f>
        <v/>
      </c>
      <c r="E96" s="78">
        <f>IF($A96="","",IF('Importar Reservas'!N88="",0,'Importar Reservas'!N88))</f>
        <v/>
      </c>
      <c r="F96" s="78">
        <f>IF($A96="","",IFERROR(INDEX(Configurações!$C$5:$C$100,MATCH($C96,Configurações!$A$5:$A$100,0)),"Margem"))</f>
        <v/>
      </c>
      <c r="G96" s="78">
        <f>IF($A96="","",IFERROR(INDEX(Configurações!$B$5:$B$100,MATCH($C96,Configurações!$A$5:$A$100,0)),0))</f>
        <v/>
      </c>
      <c r="H96" s="78">
        <f>IF(OR($A96="",'Importar Reservas'!M88&lt;&gt;"Aprovado",$D96&lt;=0),"",MAX(0,IF($F96="Margem",$D96-$E96,$D96))*$G96)</f>
        <v/>
      </c>
      <c r="K96" s="78">
        <f>IF(J96="","",SUMIF(C:C,J96,H:H))</f>
        <v/>
      </c>
    </row>
    <row r="97" ht="15" customHeight="1" s="79">
      <c r="A97" s="78">
        <f>IF('Importar Reservas'!A89="","",'Importar Reservas'!A89)</f>
        <v/>
      </c>
      <c r="B97" s="78">
        <f>IF($A97="","",'Importar Reservas'!B89)</f>
        <v/>
      </c>
      <c r="C97" s="78">
        <f>IF($A97="","",'Importar Reservas'!Z89)</f>
        <v/>
      </c>
      <c r="D97" s="78">
        <f>IF($A97="","",IF('Importar Reservas'!O89="",0,'Importar Reservas'!O89))</f>
        <v/>
      </c>
      <c r="E97" s="78">
        <f>IF($A97="","",IF('Importar Reservas'!N89="",0,'Importar Reservas'!N89))</f>
        <v/>
      </c>
      <c r="F97" s="78">
        <f>IF($A97="","",IFERROR(INDEX(Configurações!$C$5:$C$100,MATCH($C97,Configurações!$A$5:$A$100,0)),"Margem"))</f>
        <v/>
      </c>
      <c r="G97" s="78">
        <f>IF($A97="","",IFERROR(INDEX(Configurações!$B$5:$B$100,MATCH($C97,Configurações!$A$5:$A$100,0)),0))</f>
        <v/>
      </c>
      <c r="H97" s="78">
        <f>IF(OR($A97="",'Importar Reservas'!M89&lt;&gt;"Aprovado",$D97&lt;=0),"",MAX(0,IF($F97="Margem",$D97-$E97,$D97))*$G97)</f>
        <v/>
      </c>
      <c r="K97" s="78">
        <f>IF(J97="","",SUMIF(C:C,J97,H:H))</f>
        <v/>
      </c>
    </row>
    <row r="98" ht="15" customHeight="1" s="79">
      <c r="A98" s="78">
        <f>IF('Importar Reservas'!A90="","",'Importar Reservas'!A90)</f>
        <v/>
      </c>
      <c r="B98" s="78">
        <f>IF($A98="","",'Importar Reservas'!B90)</f>
        <v/>
      </c>
      <c r="C98" s="78">
        <f>IF($A98="","",'Importar Reservas'!Z90)</f>
        <v/>
      </c>
      <c r="D98" s="78">
        <f>IF($A98="","",IF('Importar Reservas'!O90="",0,'Importar Reservas'!O90))</f>
        <v/>
      </c>
      <c r="E98" s="78">
        <f>IF($A98="","",IF('Importar Reservas'!N90="",0,'Importar Reservas'!N90))</f>
        <v/>
      </c>
      <c r="F98" s="78">
        <f>IF($A98="","",IFERROR(INDEX(Configurações!$C$5:$C$100,MATCH($C98,Configurações!$A$5:$A$100,0)),"Margem"))</f>
        <v/>
      </c>
      <c r="G98" s="78">
        <f>IF($A98="","",IFERROR(INDEX(Configurações!$B$5:$B$100,MATCH($C98,Configurações!$A$5:$A$100,0)),0))</f>
        <v/>
      </c>
      <c r="H98" s="78">
        <f>IF(OR($A98="",'Importar Reservas'!M90&lt;&gt;"Aprovado",$D98&lt;=0),"",MAX(0,IF($F98="Margem",$D98-$E98,$D98))*$G98)</f>
        <v/>
      </c>
      <c r="K98" s="78">
        <f>IF(J98="","",SUMIF(C:C,J98,H:H))</f>
        <v/>
      </c>
    </row>
    <row r="99" ht="15" customHeight="1" s="79">
      <c r="A99" s="78">
        <f>IF('Importar Reservas'!A91="","",'Importar Reservas'!A91)</f>
        <v/>
      </c>
      <c r="B99" s="78">
        <f>IF($A99="","",'Importar Reservas'!B91)</f>
        <v/>
      </c>
      <c r="C99" s="78">
        <f>IF($A99="","",'Importar Reservas'!Z91)</f>
        <v/>
      </c>
      <c r="D99" s="78">
        <f>IF($A99="","",IF('Importar Reservas'!O91="",0,'Importar Reservas'!O91))</f>
        <v/>
      </c>
      <c r="E99" s="78">
        <f>IF($A99="","",IF('Importar Reservas'!N91="",0,'Importar Reservas'!N91))</f>
        <v/>
      </c>
      <c r="F99" s="78">
        <f>IF($A99="","",IFERROR(INDEX(Configurações!$C$5:$C$100,MATCH($C99,Configurações!$A$5:$A$100,0)),"Margem"))</f>
        <v/>
      </c>
      <c r="G99" s="78">
        <f>IF($A99="","",IFERROR(INDEX(Configurações!$B$5:$B$100,MATCH($C99,Configurações!$A$5:$A$100,0)),0))</f>
        <v/>
      </c>
      <c r="H99" s="78">
        <f>IF(OR($A99="",'Importar Reservas'!M91&lt;&gt;"Aprovado",$D99&lt;=0),"",MAX(0,IF($F99="Margem",$D99-$E99,$D99))*$G99)</f>
        <v/>
      </c>
      <c r="K99" s="78">
        <f>IF(J99="","",SUMIF(C:C,J99,H:H))</f>
        <v/>
      </c>
    </row>
    <row r="100" ht="15" customHeight="1" s="79">
      <c r="A100" s="78">
        <f>IF('Importar Reservas'!A92="","",'Importar Reservas'!A92)</f>
        <v/>
      </c>
      <c r="B100" s="78">
        <f>IF($A100="","",'Importar Reservas'!B92)</f>
        <v/>
      </c>
      <c r="C100" s="78">
        <f>IF($A100="","",'Importar Reservas'!Z92)</f>
        <v/>
      </c>
      <c r="D100" s="78">
        <f>IF($A100="","",IF('Importar Reservas'!O92="",0,'Importar Reservas'!O92))</f>
        <v/>
      </c>
      <c r="E100" s="78">
        <f>IF($A100="","",IF('Importar Reservas'!N92="",0,'Importar Reservas'!N92))</f>
        <v/>
      </c>
      <c r="F100" s="78">
        <f>IF($A100="","",IFERROR(INDEX(Configurações!$C$5:$C$100,MATCH($C100,Configurações!$A$5:$A$100,0)),"Margem"))</f>
        <v/>
      </c>
      <c r="G100" s="78">
        <f>IF($A100="","",IFERROR(INDEX(Configurações!$B$5:$B$100,MATCH($C100,Configurações!$A$5:$A$100,0)),0))</f>
        <v/>
      </c>
      <c r="H100" s="78">
        <f>IF(OR($A100="",'Importar Reservas'!M92&lt;&gt;"Aprovado",$D100&lt;=0),"",MAX(0,IF($F100="Margem",$D100-$E100,$D100))*$G100)</f>
        <v/>
      </c>
      <c r="K100" s="78">
        <f>IF(J100="","",SUMIF(C:C,J100,H:H))</f>
        <v/>
      </c>
    </row>
    <row r="101" ht="15" customHeight="1" s="79">
      <c r="A101" s="78">
        <f>IF('Importar Reservas'!A93="","",'Importar Reservas'!A93)</f>
        <v/>
      </c>
      <c r="B101" s="78">
        <f>IF($A101="","",'Importar Reservas'!B93)</f>
        <v/>
      </c>
      <c r="C101" s="78">
        <f>IF($A101="","",'Importar Reservas'!Z93)</f>
        <v/>
      </c>
      <c r="D101" s="78">
        <f>IF($A101="","",IF('Importar Reservas'!O93="",0,'Importar Reservas'!O93))</f>
        <v/>
      </c>
      <c r="E101" s="78">
        <f>IF($A101="","",IF('Importar Reservas'!N93="",0,'Importar Reservas'!N93))</f>
        <v/>
      </c>
      <c r="F101" s="78">
        <f>IF($A101="","",IFERROR(INDEX(Configurações!$C$5:$C$100,MATCH($C101,Configurações!$A$5:$A$100,0)),"Margem"))</f>
        <v/>
      </c>
      <c r="G101" s="78">
        <f>IF($A101="","",IFERROR(INDEX(Configurações!$B$5:$B$100,MATCH($C101,Configurações!$A$5:$A$100,0)),0))</f>
        <v/>
      </c>
      <c r="H101" s="78">
        <f>IF(OR($A101="",'Importar Reservas'!M93&lt;&gt;"Aprovado",$D101&lt;=0),"",MAX(0,IF($F101="Margem",$D101-$E101,$D101))*$G101)</f>
        <v/>
      </c>
    </row>
    <row r="102" ht="15" customHeight="1" s="79">
      <c r="A102" s="78">
        <f>IF('Importar Reservas'!A94="","",'Importar Reservas'!A94)</f>
        <v/>
      </c>
      <c r="B102" s="78">
        <f>IF($A102="","",'Importar Reservas'!B94)</f>
        <v/>
      </c>
      <c r="C102" s="78">
        <f>IF($A102="","",'Importar Reservas'!Z94)</f>
        <v/>
      </c>
      <c r="D102" s="78">
        <f>IF($A102="","",IF('Importar Reservas'!O94="",0,'Importar Reservas'!O94))</f>
        <v/>
      </c>
      <c r="E102" s="78">
        <f>IF($A102="","",IF('Importar Reservas'!N94="",0,'Importar Reservas'!N94))</f>
        <v/>
      </c>
      <c r="F102" s="78">
        <f>IF($A102="","",IFERROR(INDEX(Configurações!$C$5:$C$100,MATCH($C102,Configurações!$A$5:$A$100,0)),"Margem"))</f>
        <v/>
      </c>
      <c r="G102" s="78">
        <f>IF($A102="","",IFERROR(INDEX(Configurações!$B$5:$B$100,MATCH($C102,Configurações!$A$5:$A$100,0)),0))</f>
        <v/>
      </c>
      <c r="H102" s="78">
        <f>IF(OR($A102="",'Importar Reservas'!M94&lt;&gt;"Aprovado",$D102&lt;=0),"",MAX(0,IF($F102="Margem",$D102-$E102,$D102))*$G102)</f>
        <v/>
      </c>
    </row>
    <row r="103" ht="15" customHeight="1" s="79">
      <c r="A103" s="78">
        <f>IF('Importar Reservas'!A95="","",'Importar Reservas'!A95)</f>
        <v/>
      </c>
      <c r="B103" s="78">
        <f>IF($A103="","",'Importar Reservas'!B95)</f>
        <v/>
      </c>
      <c r="C103" s="78">
        <f>IF($A103="","",'Importar Reservas'!Z95)</f>
        <v/>
      </c>
      <c r="D103" s="78">
        <f>IF($A103="","",IF('Importar Reservas'!O95="",0,'Importar Reservas'!O95))</f>
        <v/>
      </c>
      <c r="E103" s="78">
        <f>IF($A103="","",IF('Importar Reservas'!N95="",0,'Importar Reservas'!N95))</f>
        <v/>
      </c>
      <c r="F103" s="78">
        <f>IF($A103="","",IFERROR(INDEX(Configurações!$C$5:$C$100,MATCH($C103,Configurações!$A$5:$A$100,0)),"Margem"))</f>
        <v/>
      </c>
      <c r="G103" s="78">
        <f>IF($A103="","",IFERROR(INDEX(Configurações!$B$5:$B$100,MATCH($C103,Configurações!$A$5:$A$100,0)),0))</f>
        <v/>
      </c>
      <c r="H103" s="78">
        <f>IF(OR($A103="",'Importar Reservas'!M95&lt;&gt;"Aprovado",$D103&lt;=0),"",MAX(0,IF($F103="Margem",$D103-$E103,$D103))*$G103)</f>
        <v/>
      </c>
    </row>
    <row r="104" ht="15" customHeight="1" s="79">
      <c r="A104" s="78">
        <f>IF('Importar Reservas'!A96="","",'Importar Reservas'!A96)</f>
        <v/>
      </c>
      <c r="B104" s="78">
        <f>IF($A104="","",'Importar Reservas'!B96)</f>
        <v/>
      </c>
      <c r="C104" s="78">
        <f>IF($A104="","",'Importar Reservas'!Z96)</f>
        <v/>
      </c>
      <c r="D104" s="78">
        <f>IF($A104="","",IF('Importar Reservas'!O96="",0,'Importar Reservas'!O96))</f>
        <v/>
      </c>
      <c r="E104" s="78">
        <f>IF($A104="","",IF('Importar Reservas'!N96="",0,'Importar Reservas'!N96))</f>
        <v/>
      </c>
      <c r="F104" s="78">
        <f>IF($A104="","",IFERROR(INDEX(Configurações!$C$5:$C$100,MATCH($C104,Configurações!$A$5:$A$100,0)),"Margem"))</f>
        <v/>
      </c>
      <c r="G104" s="78">
        <f>IF($A104="","",IFERROR(INDEX(Configurações!$B$5:$B$100,MATCH($C104,Configurações!$A$5:$A$100,0)),0))</f>
        <v/>
      </c>
      <c r="H104" s="78">
        <f>IF(OR($A104="",'Importar Reservas'!M96&lt;&gt;"Aprovado",$D104&lt;=0),"",MAX(0,IF($F104="Margem",$D104-$E104,$D104))*$G104)</f>
        <v/>
      </c>
    </row>
    <row r="105" ht="15" customHeight="1" s="79">
      <c r="A105" s="78">
        <f>IF('Importar Reservas'!A97="","",'Importar Reservas'!A97)</f>
        <v/>
      </c>
      <c r="B105" s="78">
        <f>IF($A105="","",'Importar Reservas'!B97)</f>
        <v/>
      </c>
      <c r="C105" s="78">
        <f>IF($A105="","",'Importar Reservas'!Z97)</f>
        <v/>
      </c>
      <c r="D105" s="78">
        <f>IF($A105="","",IF('Importar Reservas'!O97="",0,'Importar Reservas'!O97))</f>
        <v/>
      </c>
      <c r="E105" s="78">
        <f>IF($A105="","",IF('Importar Reservas'!N97="",0,'Importar Reservas'!N97))</f>
        <v/>
      </c>
      <c r="F105" s="78">
        <f>IF($A105="","",IFERROR(INDEX(Configurações!$C$5:$C$100,MATCH($C105,Configurações!$A$5:$A$100,0)),"Margem"))</f>
        <v/>
      </c>
      <c r="G105" s="78">
        <f>IF($A105="","",IFERROR(INDEX(Configurações!$B$5:$B$100,MATCH($C105,Configurações!$A$5:$A$100,0)),0))</f>
        <v/>
      </c>
      <c r="H105" s="78">
        <f>IF(OR($A105="",'Importar Reservas'!M97&lt;&gt;"Aprovado",$D105&lt;=0),"",MAX(0,IF($F105="Margem",$D105-$E105,$D105))*$G105)</f>
        <v/>
      </c>
    </row>
    <row r="106" ht="15" customHeight="1" s="79">
      <c r="A106" s="78">
        <f>IF('Importar Reservas'!A98="","",'Importar Reservas'!A98)</f>
        <v/>
      </c>
      <c r="B106" s="78">
        <f>IF($A106="","",'Importar Reservas'!B98)</f>
        <v/>
      </c>
      <c r="C106" s="78">
        <f>IF($A106="","",'Importar Reservas'!Z98)</f>
        <v/>
      </c>
      <c r="D106" s="78">
        <f>IF($A106="","",IF('Importar Reservas'!O98="",0,'Importar Reservas'!O98))</f>
        <v/>
      </c>
      <c r="E106" s="78">
        <f>IF($A106="","",IF('Importar Reservas'!N98="",0,'Importar Reservas'!N98))</f>
        <v/>
      </c>
      <c r="F106" s="78">
        <f>IF($A106="","",IFERROR(INDEX(Configurações!$C$5:$C$100,MATCH($C106,Configurações!$A$5:$A$100,0)),"Margem"))</f>
        <v/>
      </c>
      <c r="G106" s="78">
        <f>IF($A106="","",IFERROR(INDEX(Configurações!$B$5:$B$100,MATCH($C106,Configurações!$A$5:$A$100,0)),0))</f>
        <v/>
      </c>
      <c r="H106" s="78">
        <f>IF(OR($A106="",'Importar Reservas'!M98&lt;&gt;"Aprovado",$D106&lt;=0),"",MAX(0,IF($F106="Margem",$D106-$E106,$D106))*$G106)</f>
        <v/>
      </c>
    </row>
    <row r="107" ht="15" customHeight="1" s="79">
      <c r="A107" s="78">
        <f>IF('Importar Reservas'!A99="","",'Importar Reservas'!A99)</f>
        <v/>
      </c>
      <c r="B107" s="78">
        <f>IF($A107="","",'Importar Reservas'!B99)</f>
        <v/>
      </c>
      <c r="C107" s="78">
        <f>IF($A107="","",'Importar Reservas'!Z99)</f>
        <v/>
      </c>
      <c r="D107" s="78">
        <f>IF($A107="","",IF('Importar Reservas'!O99="",0,'Importar Reservas'!O99))</f>
        <v/>
      </c>
      <c r="E107" s="78">
        <f>IF($A107="","",IF('Importar Reservas'!N99="",0,'Importar Reservas'!N99))</f>
        <v/>
      </c>
      <c r="F107" s="78">
        <f>IF($A107="","",IFERROR(INDEX(Configurações!$C$5:$C$100,MATCH($C107,Configurações!$A$5:$A$100,0)),"Margem"))</f>
        <v/>
      </c>
      <c r="G107" s="78">
        <f>IF($A107="","",IFERROR(INDEX(Configurações!$B$5:$B$100,MATCH($C107,Configurações!$A$5:$A$100,0)),0))</f>
        <v/>
      </c>
      <c r="H107" s="78">
        <f>IF(OR($A107="",'Importar Reservas'!M99&lt;&gt;"Aprovado",$D107&lt;=0),"",MAX(0,IF($F107="Margem",$D107-$E107,$D107))*$G107)</f>
        <v/>
      </c>
    </row>
    <row r="108" ht="15" customHeight="1" s="79">
      <c r="A108" s="78">
        <f>IF('Importar Reservas'!A100="","",'Importar Reservas'!A100)</f>
        <v/>
      </c>
      <c r="B108" s="78">
        <f>IF($A108="","",'Importar Reservas'!B100)</f>
        <v/>
      </c>
      <c r="C108" s="78">
        <f>IF($A108="","",'Importar Reservas'!Z100)</f>
        <v/>
      </c>
      <c r="D108" s="78">
        <f>IF($A108="","",IF('Importar Reservas'!O100="",0,'Importar Reservas'!O100))</f>
        <v/>
      </c>
      <c r="E108" s="78">
        <f>IF($A108="","",IF('Importar Reservas'!N100="",0,'Importar Reservas'!N100))</f>
        <v/>
      </c>
      <c r="F108" s="78">
        <f>IF($A108="","",IFERROR(INDEX(Configurações!$C$5:$C$100,MATCH($C108,Configurações!$A$5:$A$100,0)),"Margem"))</f>
        <v/>
      </c>
      <c r="G108" s="78">
        <f>IF($A108="","",IFERROR(INDEX(Configurações!$B$5:$B$100,MATCH($C108,Configurações!$A$5:$A$100,0)),0))</f>
        <v/>
      </c>
      <c r="H108" s="78">
        <f>IF(OR($A108="",'Importar Reservas'!M100&lt;&gt;"Aprovado",$D108&lt;=0),"",MAX(0,IF($F108="Margem",$D108-$E108,$D108))*$G108)</f>
        <v/>
      </c>
    </row>
    <row r="109" ht="15" customHeight="1" s="79">
      <c r="A109" s="78">
        <f>IF('Importar Reservas'!A101="","",'Importar Reservas'!A101)</f>
        <v/>
      </c>
      <c r="B109" s="78">
        <f>IF($A109="","",'Importar Reservas'!B101)</f>
        <v/>
      </c>
      <c r="C109" s="78">
        <f>IF($A109="","",'Importar Reservas'!Z101)</f>
        <v/>
      </c>
      <c r="D109" s="78">
        <f>IF($A109="","",IF('Importar Reservas'!O101="",0,'Importar Reservas'!O101))</f>
        <v/>
      </c>
      <c r="E109" s="78">
        <f>IF($A109="","",IF('Importar Reservas'!N101="",0,'Importar Reservas'!N101))</f>
        <v/>
      </c>
      <c r="F109" s="78">
        <f>IF($A109="","",IFERROR(INDEX(Configurações!$C$5:$C$100,MATCH($C109,Configurações!$A$5:$A$100,0)),"Margem"))</f>
        <v/>
      </c>
      <c r="G109" s="78">
        <f>IF($A109="","",IFERROR(INDEX(Configurações!$B$5:$B$100,MATCH($C109,Configurações!$A$5:$A$100,0)),0))</f>
        <v/>
      </c>
      <c r="H109" s="78">
        <f>IF(OR($A109="",'Importar Reservas'!M101&lt;&gt;"Aprovado",$D109&lt;=0),"",MAX(0,IF($F109="Margem",$D109-$E109,$D109))*$G109)</f>
        <v/>
      </c>
    </row>
    <row r="110" ht="15" customHeight="1" s="79">
      <c r="A110" s="78">
        <f>IF('Importar Reservas'!A102="","",'Importar Reservas'!A102)</f>
        <v/>
      </c>
      <c r="B110" s="78">
        <f>IF($A110="","",'Importar Reservas'!B102)</f>
        <v/>
      </c>
      <c r="C110" s="78">
        <f>IF($A110="","",'Importar Reservas'!Z102)</f>
        <v/>
      </c>
      <c r="D110" s="78">
        <f>IF($A110="","",IF('Importar Reservas'!O102="",0,'Importar Reservas'!O102))</f>
        <v/>
      </c>
      <c r="E110" s="78">
        <f>IF($A110="","",IF('Importar Reservas'!N102="",0,'Importar Reservas'!N102))</f>
        <v/>
      </c>
      <c r="F110" s="78">
        <f>IF($A110="","",IFERROR(INDEX(Configurações!$C$5:$C$100,MATCH($C110,Configurações!$A$5:$A$100,0)),"Margem"))</f>
        <v/>
      </c>
      <c r="G110" s="78">
        <f>IF($A110="","",IFERROR(INDEX(Configurações!$B$5:$B$100,MATCH($C110,Configurações!$A$5:$A$100,0)),0))</f>
        <v/>
      </c>
      <c r="H110" s="78">
        <f>IF(OR($A110="",'Importar Reservas'!M102&lt;&gt;"Aprovado",$D110&lt;=0),"",MAX(0,IF($F110="Margem",$D110-$E110,$D110))*$G110)</f>
        <v/>
      </c>
    </row>
    <row r="111" ht="15" customHeight="1" s="79">
      <c r="A111" s="78">
        <f>IF('Importar Reservas'!A103="","",'Importar Reservas'!A103)</f>
        <v/>
      </c>
      <c r="B111" s="78">
        <f>IF($A111="","",'Importar Reservas'!B103)</f>
        <v/>
      </c>
      <c r="C111" s="78">
        <f>IF($A111="","",'Importar Reservas'!Z103)</f>
        <v/>
      </c>
      <c r="D111" s="78">
        <f>IF($A111="","",IF('Importar Reservas'!O103="",0,'Importar Reservas'!O103))</f>
        <v/>
      </c>
      <c r="E111" s="78">
        <f>IF($A111="","",IF('Importar Reservas'!N103="",0,'Importar Reservas'!N103))</f>
        <v/>
      </c>
      <c r="F111" s="78">
        <f>IF($A111="","",IFERROR(INDEX(Configurações!$C$5:$C$100,MATCH($C111,Configurações!$A$5:$A$100,0)),"Margem"))</f>
        <v/>
      </c>
      <c r="G111" s="78">
        <f>IF($A111="","",IFERROR(INDEX(Configurações!$B$5:$B$100,MATCH($C111,Configurações!$A$5:$A$100,0)),0))</f>
        <v/>
      </c>
      <c r="H111" s="78">
        <f>IF(OR($A111="",'Importar Reservas'!M103&lt;&gt;"Aprovado",$D111&lt;=0),"",MAX(0,IF($F111="Margem",$D111-$E111,$D111))*$G111)</f>
        <v/>
      </c>
    </row>
    <row r="112" ht="15" customHeight="1" s="79">
      <c r="A112" s="78">
        <f>IF('Importar Reservas'!A104="","",'Importar Reservas'!A104)</f>
        <v/>
      </c>
      <c r="B112" s="78">
        <f>IF($A112="","",'Importar Reservas'!B104)</f>
        <v/>
      </c>
      <c r="C112" s="78">
        <f>IF($A112="","",'Importar Reservas'!Z104)</f>
        <v/>
      </c>
      <c r="D112" s="78">
        <f>IF($A112="","",IF('Importar Reservas'!O104="",0,'Importar Reservas'!O104))</f>
        <v/>
      </c>
      <c r="E112" s="78">
        <f>IF($A112="","",IF('Importar Reservas'!N104="",0,'Importar Reservas'!N104))</f>
        <v/>
      </c>
      <c r="F112" s="78">
        <f>IF($A112="","",IFERROR(INDEX(Configurações!$C$5:$C$100,MATCH($C112,Configurações!$A$5:$A$100,0)),"Margem"))</f>
        <v/>
      </c>
      <c r="G112" s="78">
        <f>IF($A112="","",IFERROR(INDEX(Configurações!$B$5:$B$100,MATCH($C112,Configurações!$A$5:$A$100,0)),0))</f>
        <v/>
      </c>
      <c r="H112" s="78">
        <f>IF(OR($A112="",'Importar Reservas'!M104&lt;&gt;"Aprovado",$D112&lt;=0),"",MAX(0,IF($F112="Margem",$D112-$E112,$D112))*$G112)</f>
        <v/>
      </c>
    </row>
    <row r="113" ht="15" customHeight="1" s="79">
      <c r="A113" s="78">
        <f>IF('Importar Reservas'!A105="","",'Importar Reservas'!A105)</f>
        <v/>
      </c>
      <c r="B113" s="78">
        <f>IF($A113="","",'Importar Reservas'!B105)</f>
        <v/>
      </c>
      <c r="C113" s="78">
        <f>IF($A113="","",'Importar Reservas'!Z105)</f>
        <v/>
      </c>
      <c r="D113" s="78">
        <f>IF($A113="","",IF('Importar Reservas'!O105="",0,'Importar Reservas'!O105))</f>
        <v/>
      </c>
      <c r="E113" s="78">
        <f>IF($A113="","",IF('Importar Reservas'!N105="",0,'Importar Reservas'!N105))</f>
        <v/>
      </c>
      <c r="F113" s="78">
        <f>IF($A113="","",IFERROR(INDEX(Configurações!$C$5:$C$100,MATCH($C113,Configurações!$A$5:$A$100,0)),"Margem"))</f>
        <v/>
      </c>
      <c r="G113" s="78">
        <f>IF($A113="","",IFERROR(INDEX(Configurações!$B$5:$B$100,MATCH($C113,Configurações!$A$5:$A$100,0)),0))</f>
        <v/>
      </c>
      <c r="H113" s="78">
        <f>IF(OR($A113="",'Importar Reservas'!M105&lt;&gt;"Aprovado",$D113&lt;=0),"",MAX(0,IF($F113="Margem",$D113-$E113,$D113))*$G113)</f>
        <v/>
      </c>
    </row>
    <row r="114" ht="15" customHeight="1" s="79">
      <c r="A114" s="78">
        <f>IF('Importar Reservas'!A106="","",'Importar Reservas'!A106)</f>
        <v/>
      </c>
      <c r="B114" s="78">
        <f>IF($A114="","",'Importar Reservas'!B106)</f>
        <v/>
      </c>
      <c r="C114" s="78">
        <f>IF($A114="","",'Importar Reservas'!Z106)</f>
        <v/>
      </c>
      <c r="D114" s="78">
        <f>IF($A114="","",IF('Importar Reservas'!O106="",0,'Importar Reservas'!O106))</f>
        <v/>
      </c>
      <c r="E114" s="78">
        <f>IF($A114="","",IF('Importar Reservas'!N106="",0,'Importar Reservas'!N106))</f>
        <v/>
      </c>
      <c r="F114" s="78">
        <f>IF($A114="","",IFERROR(INDEX(Configurações!$C$5:$C$100,MATCH($C114,Configurações!$A$5:$A$100,0)),"Margem"))</f>
        <v/>
      </c>
      <c r="G114" s="78">
        <f>IF($A114="","",IFERROR(INDEX(Configurações!$B$5:$B$100,MATCH($C114,Configurações!$A$5:$A$100,0)),0))</f>
        <v/>
      </c>
      <c r="H114" s="78">
        <f>IF(OR($A114="",'Importar Reservas'!M106&lt;&gt;"Aprovado",$D114&lt;=0),"",MAX(0,IF($F114="Margem",$D114-$E114,$D114))*$G114)</f>
        <v/>
      </c>
    </row>
    <row r="115" ht="15" customHeight="1" s="79">
      <c r="A115" s="78">
        <f>IF('Importar Reservas'!A107="","",'Importar Reservas'!A107)</f>
        <v/>
      </c>
      <c r="B115" s="78">
        <f>IF($A115="","",'Importar Reservas'!B107)</f>
        <v/>
      </c>
      <c r="C115" s="78">
        <f>IF($A115="","",'Importar Reservas'!Z107)</f>
        <v/>
      </c>
      <c r="D115" s="78">
        <f>IF($A115="","",IF('Importar Reservas'!O107="",0,'Importar Reservas'!O107))</f>
        <v/>
      </c>
      <c r="E115" s="78">
        <f>IF($A115="","",IF('Importar Reservas'!N107="",0,'Importar Reservas'!N107))</f>
        <v/>
      </c>
      <c r="F115" s="78">
        <f>IF($A115="","",IFERROR(INDEX(Configurações!$C$5:$C$100,MATCH($C115,Configurações!$A$5:$A$100,0)),"Margem"))</f>
        <v/>
      </c>
      <c r="G115" s="78">
        <f>IF($A115="","",IFERROR(INDEX(Configurações!$B$5:$B$100,MATCH($C115,Configurações!$A$5:$A$100,0)),0))</f>
        <v/>
      </c>
      <c r="H115" s="78">
        <f>IF(OR($A115="",'Importar Reservas'!M107&lt;&gt;"Aprovado",$D115&lt;=0),"",MAX(0,IF($F115="Margem",$D115-$E115,$D115))*$G115)</f>
        <v/>
      </c>
    </row>
    <row r="116" ht="15" customHeight="1" s="79">
      <c r="A116" s="78">
        <f>IF('Importar Reservas'!A108="","",'Importar Reservas'!A108)</f>
        <v/>
      </c>
      <c r="B116" s="78">
        <f>IF($A116="","",'Importar Reservas'!B108)</f>
        <v/>
      </c>
      <c r="C116" s="78">
        <f>IF($A116="","",'Importar Reservas'!Z108)</f>
        <v/>
      </c>
      <c r="D116" s="78">
        <f>IF($A116="","",IF('Importar Reservas'!O108="",0,'Importar Reservas'!O108))</f>
        <v/>
      </c>
      <c r="E116" s="78">
        <f>IF($A116="","",IF('Importar Reservas'!N108="",0,'Importar Reservas'!N108))</f>
        <v/>
      </c>
      <c r="F116" s="78">
        <f>IF($A116="","",IFERROR(INDEX(Configurações!$C$5:$C$100,MATCH($C116,Configurações!$A$5:$A$100,0)),"Margem"))</f>
        <v/>
      </c>
      <c r="G116" s="78">
        <f>IF($A116="","",IFERROR(INDEX(Configurações!$B$5:$B$100,MATCH($C116,Configurações!$A$5:$A$100,0)),0))</f>
        <v/>
      </c>
      <c r="H116" s="78">
        <f>IF(OR($A116="",'Importar Reservas'!M108&lt;&gt;"Aprovado",$D116&lt;=0),"",MAX(0,IF($F116="Margem",$D116-$E116,$D116))*$G116)</f>
        <v/>
      </c>
    </row>
    <row r="117" ht="15" customHeight="1" s="79">
      <c r="A117" s="78">
        <f>IF('Importar Reservas'!A109="","",'Importar Reservas'!A109)</f>
        <v/>
      </c>
      <c r="B117" s="78">
        <f>IF($A117="","",'Importar Reservas'!B109)</f>
        <v/>
      </c>
      <c r="C117" s="78">
        <f>IF($A117="","",'Importar Reservas'!Z109)</f>
        <v/>
      </c>
      <c r="D117" s="78">
        <f>IF($A117="","",IF('Importar Reservas'!O109="",0,'Importar Reservas'!O109))</f>
        <v/>
      </c>
      <c r="E117" s="78">
        <f>IF($A117="","",IF('Importar Reservas'!N109="",0,'Importar Reservas'!N109))</f>
        <v/>
      </c>
      <c r="F117" s="78">
        <f>IF($A117="","",IFERROR(INDEX(Configurações!$C$5:$C$100,MATCH($C117,Configurações!$A$5:$A$100,0)),"Margem"))</f>
        <v/>
      </c>
      <c r="G117" s="78">
        <f>IF($A117="","",IFERROR(INDEX(Configurações!$B$5:$B$100,MATCH($C117,Configurações!$A$5:$A$100,0)),0))</f>
        <v/>
      </c>
      <c r="H117" s="78">
        <f>IF(OR($A117="",'Importar Reservas'!M109&lt;&gt;"Aprovado",$D117&lt;=0),"",MAX(0,IF($F117="Margem",$D117-$E117,$D117))*$G117)</f>
        <v/>
      </c>
    </row>
    <row r="118" ht="15" customHeight="1" s="79">
      <c r="A118" s="78">
        <f>IF('Importar Reservas'!A110="","",'Importar Reservas'!A110)</f>
        <v/>
      </c>
      <c r="B118" s="78">
        <f>IF($A118="","",'Importar Reservas'!B110)</f>
        <v/>
      </c>
      <c r="C118" s="78">
        <f>IF($A118="","",'Importar Reservas'!Z110)</f>
        <v/>
      </c>
      <c r="D118" s="78">
        <f>IF($A118="","",IF('Importar Reservas'!O110="",0,'Importar Reservas'!O110))</f>
        <v/>
      </c>
      <c r="E118" s="78">
        <f>IF($A118="","",IF('Importar Reservas'!N110="",0,'Importar Reservas'!N110))</f>
        <v/>
      </c>
      <c r="F118" s="78">
        <f>IF($A118="","",IFERROR(INDEX(Configurações!$C$5:$C$100,MATCH($C118,Configurações!$A$5:$A$100,0)),"Margem"))</f>
        <v/>
      </c>
      <c r="G118" s="78">
        <f>IF($A118="","",IFERROR(INDEX(Configurações!$B$5:$B$100,MATCH($C118,Configurações!$A$5:$A$100,0)),0))</f>
        <v/>
      </c>
      <c r="H118" s="78">
        <f>IF(OR($A118="",'Importar Reservas'!M110&lt;&gt;"Aprovado",$D118&lt;=0),"",MAX(0,IF($F118="Margem",$D118-$E118,$D118))*$G118)</f>
        <v/>
      </c>
    </row>
    <row r="119" ht="15" customHeight="1" s="79">
      <c r="A119" s="78">
        <f>IF('Importar Reservas'!A111="","",'Importar Reservas'!A111)</f>
        <v/>
      </c>
      <c r="B119" s="78">
        <f>IF($A119="","",'Importar Reservas'!B111)</f>
        <v/>
      </c>
      <c r="C119" s="78">
        <f>IF($A119="","",'Importar Reservas'!Z111)</f>
        <v/>
      </c>
      <c r="D119" s="78">
        <f>IF($A119="","",IF('Importar Reservas'!O111="",0,'Importar Reservas'!O111))</f>
        <v/>
      </c>
      <c r="E119" s="78">
        <f>IF($A119="","",IF('Importar Reservas'!N111="",0,'Importar Reservas'!N111))</f>
        <v/>
      </c>
      <c r="F119" s="78">
        <f>IF($A119="","",IFERROR(INDEX(Configurações!$C$5:$C$100,MATCH($C119,Configurações!$A$5:$A$100,0)),"Margem"))</f>
        <v/>
      </c>
      <c r="G119" s="78">
        <f>IF($A119="","",IFERROR(INDEX(Configurações!$B$5:$B$100,MATCH($C119,Configurações!$A$5:$A$100,0)),0))</f>
        <v/>
      </c>
      <c r="H119" s="78">
        <f>IF(OR($A119="",'Importar Reservas'!M111&lt;&gt;"Aprovado",$D119&lt;=0),"",MAX(0,IF($F119="Margem",$D119-$E119,$D119))*$G119)</f>
        <v/>
      </c>
    </row>
    <row r="120" ht="15" customHeight="1" s="79">
      <c r="A120" s="78">
        <f>IF('Importar Reservas'!A112="","",'Importar Reservas'!A112)</f>
        <v/>
      </c>
      <c r="B120" s="78">
        <f>IF($A120="","",'Importar Reservas'!B112)</f>
        <v/>
      </c>
      <c r="C120" s="78">
        <f>IF($A120="","",'Importar Reservas'!Z112)</f>
        <v/>
      </c>
      <c r="D120" s="78">
        <f>IF($A120="","",IF('Importar Reservas'!O112="",0,'Importar Reservas'!O112))</f>
        <v/>
      </c>
      <c r="E120" s="78">
        <f>IF($A120="","",IF('Importar Reservas'!N112="",0,'Importar Reservas'!N112))</f>
        <v/>
      </c>
      <c r="F120" s="78">
        <f>IF($A120="","",IFERROR(INDEX(Configurações!$C$5:$C$100,MATCH($C120,Configurações!$A$5:$A$100,0)),"Margem"))</f>
        <v/>
      </c>
      <c r="G120" s="78">
        <f>IF($A120="","",IFERROR(INDEX(Configurações!$B$5:$B$100,MATCH($C120,Configurações!$A$5:$A$100,0)),0))</f>
        <v/>
      </c>
      <c r="H120" s="78">
        <f>IF(OR($A120="",'Importar Reservas'!M112&lt;&gt;"Aprovado",$D120&lt;=0),"",MAX(0,IF($F120="Margem",$D120-$E120,$D120))*$G120)</f>
        <v/>
      </c>
    </row>
    <row r="121" ht="15" customHeight="1" s="79">
      <c r="A121" s="78">
        <f>IF('Importar Reservas'!A113="","",'Importar Reservas'!A113)</f>
        <v/>
      </c>
      <c r="B121" s="78">
        <f>IF($A121="","",'Importar Reservas'!B113)</f>
        <v/>
      </c>
      <c r="C121" s="78">
        <f>IF($A121="","",'Importar Reservas'!Z113)</f>
        <v/>
      </c>
      <c r="D121" s="78">
        <f>IF($A121="","",IF('Importar Reservas'!O113="",0,'Importar Reservas'!O113))</f>
        <v/>
      </c>
      <c r="E121" s="78">
        <f>IF($A121="","",IF('Importar Reservas'!N113="",0,'Importar Reservas'!N113))</f>
        <v/>
      </c>
      <c r="F121" s="78">
        <f>IF($A121="","",IFERROR(INDEX(Configurações!$C$5:$C$100,MATCH($C121,Configurações!$A$5:$A$100,0)),"Margem"))</f>
        <v/>
      </c>
      <c r="G121" s="78">
        <f>IF($A121="","",IFERROR(INDEX(Configurações!$B$5:$B$100,MATCH($C121,Configurações!$A$5:$A$100,0)),0))</f>
        <v/>
      </c>
      <c r="H121" s="78">
        <f>IF(OR($A121="",'Importar Reservas'!M113&lt;&gt;"Aprovado",$D121&lt;=0),"",MAX(0,IF($F121="Margem",$D121-$E121,$D121))*$G121)</f>
        <v/>
      </c>
    </row>
    <row r="122" ht="15" customHeight="1" s="79">
      <c r="A122" s="78">
        <f>IF('Importar Reservas'!A114="","",'Importar Reservas'!A114)</f>
        <v/>
      </c>
      <c r="B122" s="78">
        <f>IF($A122="","",'Importar Reservas'!B114)</f>
        <v/>
      </c>
      <c r="C122" s="78">
        <f>IF($A122="","",'Importar Reservas'!Z114)</f>
        <v/>
      </c>
      <c r="D122" s="78">
        <f>IF($A122="","",IF('Importar Reservas'!O114="",0,'Importar Reservas'!O114))</f>
        <v/>
      </c>
      <c r="E122" s="78">
        <f>IF($A122="","",IF('Importar Reservas'!N114="",0,'Importar Reservas'!N114))</f>
        <v/>
      </c>
      <c r="F122" s="78">
        <f>IF($A122="","",IFERROR(INDEX(Configurações!$C$5:$C$100,MATCH($C122,Configurações!$A$5:$A$100,0)),"Margem"))</f>
        <v/>
      </c>
      <c r="G122" s="78">
        <f>IF($A122="","",IFERROR(INDEX(Configurações!$B$5:$B$100,MATCH($C122,Configurações!$A$5:$A$100,0)),0))</f>
        <v/>
      </c>
      <c r="H122" s="78">
        <f>IF(OR($A122="",'Importar Reservas'!M114&lt;&gt;"Aprovado",$D122&lt;=0),"",MAX(0,IF($F122="Margem",$D122-$E122,$D122))*$G122)</f>
        <v/>
      </c>
    </row>
    <row r="123" ht="15" customHeight="1" s="79">
      <c r="A123" s="78">
        <f>IF('Importar Reservas'!A115="","",'Importar Reservas'!A115)</f>
        <v/>
      </c>
      <c r="B123" s="78">
        <f>IF($A123="","",'Importar Reservas'!B115)</f>
        <v/>
      </c>
      <c r="C123" s="78">
        <f>IF($A123="","",'Importar Reservas'!Z115)</f>
        <v/>
      </c>
      <c r="D123" s="78">
        <f>IF($A123="","",IF('Importar Reservas'!O115="",0,'Importar Reservas'!O115))</f>
        <v/>
      </c>
      <c r="E123" s="78">
        <f>IF($A123="","",IF('Importar Reservas'!N115="",0,'Importar Reservas'!N115))</f>
        <v/>
      </c>
      <c r="F123" s="78">
        <f>IF($A123="","",IFERROR(INDEX(Configurações!$C$5:$C$100,MATCH($C123,Configurações!$A$5:$A$100,0)),"Margem"))</f>
        <v/>
      </c>
      <c r="G123" s="78">
        <f>IF($A123="","",IFERROR(INDEX(Configurações!$B$5:$B$100,MATCH($C123,Configurações!$A$5:$A$100,0)),0))</f>
        <v/>
      </c>
      <c r="H123" s="78">
        <f>IF(OR($A123="",'Importar Reservas'!M115&lt;&gt;"Aprovado",$D123&lt;=0),"",MAX(0,IF($F123="Margem",$D123-$E123,$D123))*$G123)</f>
        <v/>
      </c>
    </row>
    <row r="124" ht="15" customHeight="1" s="79">
      <c r="A124" s="78">
        <f>IF('Importar Reservas'!A116="","",'Importar Reservas'!A116)</f>
        <v/>
      </c>
      <c r="B124" s="78">
        <f>IF($A124="","",'Importar Reservas'!B116)</f>
        <v/>
      </c>
      <c r="C124" s="78">
        <f>IF($A124="","",'Importar Reservas'!Z116)</f>
        <v/>
      </c>
      <c r="D124" s="78">
        <f>IF($A124="","",IF('Importar Reservas'!O116="",0,'Importar Reservas'!O116))</f>
        <v/>
      </c>
      <c r="E124" s="78">
        <f>IF($A124="","",IF('Importar Reservas'!N116="",0,'Importar Reservas'!N116))</f>
        <v/>
      </c>
      <c r="F124" s="78">
        <f>IF($A124="","",IFERROR(INDEX(Configurações!$C$5:$C$100,MATCH($C124,Configurações!$A$5:$A$100,0)),"Margem"))</f>
        <v/>
      </c>
      <c r="G124" s="78">
        <f>IF($A124="","",IFERROR(INDEX(Configurações!$B$5:$B$100,MATCH($C124,Configurações!$A$5:$A$100,0)),0))</f>
        <v/>
      </c>
      <c r="H124" s="78">
        <f>IF(OR($A124="",'Importar Reservas'!M116&lt;&gt;"Aprovado",$D124&lt;=0),"",MAX(0,IF($F124="Margem",$D124-$E124,$D124))*$G124)</f>
        <v/>
      </c>
    </row>
    <row r="125" ht="15" customHeight="1" s="79">
      <c r="A125" s="78">
        <f>IF('Importar Reservas'!A117="","",'Importar Reservas'!A117)</f>
        <v/>
      </c>
      <c r="B125" s="78">
        <f>IF($A125="","",'Importar Reservas'!B117)</f>
        <v/>
      </c>
      <c r="C125" s="78">
        <f>IF($A125="","",'Importar Reservas'!Z117)</f>
        <v/>
      </c>
      <c r="D125" s="78">
        <f>IF($A125="","",IF('Importar Reservas'!O117="",0,'Importar Reservas'!O117))</f>
        <v/>
      </c>
      <c r="E125" s="78">
        <f>IF($A125="","",IF('Importar Reservas'!N117="",0,'Importar Reservas'!N117))</f>
        <v/>
      </c>
      <c r="F125" s="78">
        <f>IF($A125="","",IFERROR(INDEX(Configurações!$C$5:$C$100,MATCH($C125,Configurações!$A$5:$A$100,0)),"Margem"))</f>
        <v/>
      </c>
      <c r="G125" s="78">
        <f>IF($A125="","",IFERROR(INDEX(Configurações!$B$5:$B$100,MATCH($C125,Configurações!$A$5:$A$100,0)),0))</f>
        <v/>
      </c>
      <c r="H125" s="78">
        <f>IF(OR($A125="",'Importar Reservas'!M117&lt;&gt;"Aprovado",$D125&lt;=0),"",MAX(0,IF($F125="Margem",$D125-$E125,$D125))*$G125)</f>
        <v/>
      </c>
    </row>
    <row r="126" ht="15" customHeight="1" s="79">
      <c r="A126" s="78">
        <f>IF('Importar Reservas'!A118="","",'Importar Reservas'!A118)</f>
        <v/>
      </c>
      <c r="B126" s="78">
        <f>IF($A126="","",'Importar Reservas'!B118)</f>
        <v/>
      </c>
      <c r="C126" s="78">
        <f>IF($A126="","",'Importar Reservas'!Z118)</f>
        <v/>
      </c>
      <c r="D126" s="78">
        <f>IF($A126="","",IF('Importar Reservas'!O118="",0,'Importar Reservas'!O118))</f>
        <v/>
      </c>
      <c r="E126" s="78">
        <f>IF($A126="","",IF('Importar Reservas'!N118="",0,'Importar Reservas'!N118))</f>
        <v/>
      </c>
      <c r="F126" s="78">
        <f>IF($A126="","",IFERROR(INDEX(Configurações!$C$5:$C$100,MATCH($C126,Configurações!$A$5:$A$100,0)),"Margem"))</f>
        <v/>
      </c>
      <c r="G126" s="78">
        <f>IF($A126="","",IFERROR(INDEX(Configurações!$B$5:$B$100,MATCH($C126,Configurações!$A$5:$A$100,0)),0))</f>
        <v/>
      </c>
      <c r="H126" s="78">
        <f>IF(OR($A126="",'Importar Reservas'!M118&lt;&gt;"Aprovado",$D126&lt;=0),"",MAX(0,IF($F126="Margem",$D126-$E126,$D126))*$G126)</f>
        <v/>
      </c>
    </row>
    <row r="127" ht="15" customHeight="1" s="79">
      <c r="A127" s="78">
        <f>IF('Importar Reservas'!A119="","",'Importar Reservas'!A119)</f>
        <v/>
      </c>
      <c r="B127" s="78">
        <f>IF($A127="","",'Importar Reservas'!B119)</f>
        <v/>
      </c>
      <c r="C127" s="78">
        <f>IF($A127="","",'Importar Reservas'!Z119)</f>
        <v/>
      </c>
      <c r="D127" s="78">
        <f>IF($A127="","",IF('Importar Reservas'!O119="",0,'Importar Reservas'!O119))</f>
        <v/>
      </c>
      <c r="E127" s="78">
        <f>IF($A127="","",IF('Importar Reservas'!N119="",0,'Importar Reservas'!N119))</f>
        <v/>
      </c>
      <c r="F127" s="78">
        <f>IF($A127="","",IFERROR(INDEX(Configurações!$C$5:$C$100,MATCH($C127,Configurações!$A$5:$A$100,0)),"Margem"))</f>
        <v/>
      </c>
      <c r="G127" s="78">
        <f>IF($A127="","",IFERROR(INDEX(Configurações!$B$5:$B$100,MATCH($C127,Configurações!$A$5:$A$100,0)),0))</f>
        <v/>
      </c>
      <c r="H127" s="78">
        <f>IF(OR($A127="",'Importar Reservas'!M119&lt;&gt;"Aprovado",$D127&lt;=0),"",MAX(0,IF($F127="Margem",$D127-$E127,$D127))*$G127)</f>
        <v/>
      </c>
    </row>
    <row r="128" ht="15" customHeight="1" s="79">
      <c r="A128" s="78">
        <f>IF('Importar Reservas'!A120="","",'Importar Reservas'!A120)</f>
        <v/>
      </c>
      <c r="B128" s="78">
        <f>IF($A128="","",'Importar Reservas'!B120)</f>
        <v/>
      </c>
      <c r="C128" s="78">
        <f>IF($A128="","",'Importar Reservas'!Z120)</f>
        <v/>
      </c>
      <c r="D128" s="78">
        <f>IF($A128="","",IF('Importar Reservas'!O120="",0,'Importar Reservas'!O120))</f>
        <v/>
      </c>
      <c r="E128" s="78">
        <f>IF($A128="","",IF('Importar Reservas'!N120="",0,'Importar Reservas'!N120))</f>
        <v/>
      </c>
      <c r="F128" s="78">
        <f>IF($A128="","",IFERROR(INDEX(Configurações!$C$5:$C$100,MATCH($C128,Configurações!$A$5:$A$100,0)),"Margem"))</f>
        <v/>
      </c>
      <c r="G128" s="78">
        <f>IF($A128="","",IFERROR(INDEX(Configurações!$B$5:$B$100,MATCH($C128,Configurações!$A$5:$A$100,0)),0))</f>
        <v/>
      </c>
      <c r="H128" s="78">
        <f>IF(OR($A128="",'Importar Reservas'!M120&lt;&gt;"Aprovado",$D128&lt;=0),"",MAX(0,IF($F128="Margem",$D128-$E128,$D128))*$G128)</f>
        <v/>
      </c>
    </row>
    <row r="129" ht="15" customHeight="1" s="79">
      <c r="A129" s="78">
        <f>IF('Importar Reservas'!A121="","",'Importar Reservas'!A121)</f>
        <v/>
      </c>
      <c r="B129" s="78">
        <f>IF($A129="","",'Importar Reservas'!B121)</f>
        <v/>
      </c>
      <c r="C129" s="78">
        <f>IF($A129="","",'Importar Reservas'!Z121)</f>
        <v/>
      </c>
      <c r="D129" s="78">
        <f>IF($A129="","",IF('Importar Reservas'!O121="",0,'Importar Reservas'!O121))</f>
        <v/>
      </c>
      <c r="E129" s="78">
        <f>IF($A129="","",IF('Importar Reservas'!N121="",0,'Importar Reservas'!N121))</f>
        <v/>
      </c>
      <c r="F129" s="78">
        <f>IF($A129="","",IFERROR(INDEX(Configurações!$C$5:$C$100,MATCH($C129,Configurações!$A$5:$A$100,0)),"Margem"))</f>
        <v/>
      </c>
      <c r="G129" s="78">
        <f>IF($A129="","",IFERROR(INDEX(Configurações!$B$5:$B$100,MATCH($C129,Configurações!$A$5:$A$100,0)),0))</f>
        <v/>
      </c>
      <c r="H129" s="78">
        <f>IF(OR($A129="",'Importar Reservas'!M121&lt;&gt;"Aprovado",$D129&lt;=0),"",MAX(0,IF($F129="Margem",$D129-$E129,$D129))*$G129)</f>
        <v/>
      </c>
    </row>
    <row r="130" ht="15" customHeight="1" s="79">
      <c r="A130" s="78">
        <f>IF('Importar Reservas'!A122="","",'Importar Reservas'!A122)</f>
        <v/>
      </c>
      <c r="B130" s="78">
        <f>IF($A130="","",'Importar Reservas'!B122)</f>
        <v/>
      </c>
      <c r="C130" s="78">
        <f>IF($A130="","",'Importar Reservas'!Z122)</f>
        <v/>
      </c>
      <c r="D130" s="78">
        <f>IF($A130="","",IF('Importar Reservas'!O122="",0,'Importar Reservas'!O122))</f>
        <v/>
      </c>
      <c r="E130" s="78">
        <f>IF($A130="","",IF('Importar Reservas'!N122="",0,'Importar Reservas'!N122))</f>
        <v/>
      </c>
      <c r="F130" s="78">
        <f>IF($A130="","",IFERROR(INDEX(Configurações!$C$5:$C$100,MATCH($C130,Configurações!$A$5:$A$100,0)),"Margem"))</f>
        <v/>
      </c>
      <c r="G130" s="78">
        <f>IF($A130="","",IFERROR(INDEX(Configurações!$B$5:$B$100,MATCH($C130,Configurações!$A$5:$A$100,0)),0))</f>
        <v/>
      </c>
      <c r="H130" s="78">
        <f>IF(OR($A130="",'Importar Reservas'!M122&lt;&gt;"Aprovado",$D130&lt;=0),"",MAX(0,IF($F130="Margem",$D130-$E130,$D130))*$G130)</f>
        <v/>
      </c>
    </row>
    <row r="131" ht="15" customHeight="1" s="79">
      <c r="A131" s="78">
        <f>IF('Importar Reservas'!A123="","",'Importar Reservas'!A123)</f>
        <v/>
      </c>
      <c r="B131" s="78">
        <f>IF($A131="","",'Importar Reservas'!B123)</f>
        <v/>
      </c>
      <c r="C131" s="78">
        <f>IF($A131="","",'Importar Reservas'!Z123)</f>
        <v/>
      </c>
      <c r="D131" s="78">
        <f>IF($A131="","",IF('Importar Reservas'!O123="",0,'Importar Reservas'!O123))</f>
        <v/>
      </c>
      <c r="E131" s="78">
        <f>IF($A131="","",IF('Importar Reservas'!N123="",0,'Importar Reservas'!N123))</f>
        <v/>
      </c>
      <c r="F131" s="78">
        <f>IF($A131="","",IFERROR(INDEX(Configurações!$C$5:$C$100,MATCH($C131,Configurações!$A$5:$A$100,0)),"Margem"))</f>
        <v/>
      </c>
      <c r="G131" s="78">
        <f>IF($A131="","",IFERROR(INDEX(Configurações!$B$5:$B$100,MATCH($C131,Configurações!$A$5:$A$100,0)),0))</f>
        <v/>
      </c>
      <c r="H131" s="78">
        <f>IF(OR($A131="",'Importar Reservas'!M123&lt;&gt;"Aprovado",$D131&lt;=0),"",MAX(0,IF($F131="Margem",$D131-$E131,$D131))*$G131)</f>
        <v/>
      </c>
    </row>
    <row r="132" ht="15" customHeight="1" s="79">
      <c r="A132" s="78">
        <f>IF('Importar Reservas'!A124="","",'Importar Reservas'!A124)</f>
        <v/>
      </c>
      <c r="B132" s="78">
        <f>IF($A132="","",'Importar Reservas'!B124)</f>
        <v/>
      </c>
      <c r="C132" s="78">
        <f>IF($A132="","",'Importar Reservas'!Z124)</f>
        <v/>
      </c>
      <c r="D132" s="78">
        <f>IF($A132="","",IF('Importar Reservas'!O124="",0,'Importar Reservas'!O124))</f>
        <v/>
      </c>
      <c r="E132" s="78">
        <f>IF($A132="","",IF('Importar Reservas'!N124="",0,'Importar Reservas'!N124))</f>
        <v/>
      </c>
      <c r="F132" s="78">
        <f>IF($A132="","",IFERROR(INDEX(Configurações!$C$5:$C$100,MATCH($C132,Configurações!$A$5:$A$100,0)),"Margem"))</f>
        <v/>
      </c>
      <c r="G132" s="78">
        <f>IF($A132="","",IFERROR(INDEX(Configurações!$B$5:$B$100,MATCH($C132,Configurações!$A$5:$A$100,0)),0))</f>
        <v/>
      </c>
      <c r="H132" s="78">
        <f>IF(OR($A132="",'Importar Reservas'!M124&lt;&gt;"Aprovado",$D132&lt;=0),"",MAX(0,IF($F132="Margem",$D132-$E132,$D132))*$G132)</f>
        <v/>
      </c>
    </row>
    <row r="133" ht="15" customHeight="1" s="79">
      <c r="A133" s="78">
        <f>IF('Importar Reservas'!A125="","",'Importar Reservas'!A125)</f>
        <v/>
      </c>
      <c r="B133" s="78">
        <f>IF($A133="","",'Importar Reservas'!B125)</f>
        <v/>
      </c>
      <c r="C133" s="78">
        <f>IF($A133="","",'Importar Reservas'!Z125)</f>
        <v/>
      </c>
      <c r="D133" s="78">
        <f>IF($A133="","",IF('Importar Reservas'!O125="",0,'Importar Reservas'!O125))</f>
        <v/>
      </c>
      <c r="E133" s="78">
        <f>IF($A133="","",IF('Importar Reservas'!N125="",0,'Importar Reservas'!N125))</f>
        <v/>
      </c>
      <c r="F133" s="78">
        <f>IF($A133="","",IFERROR(INDEX(Configurações!$C$5:$C$100,MATCH($C133,Configurações!$A$5:$A$100,0)),"Margem"))</f>
        <v/>
      </c>
      <c r="G133" s="78">
        <f>IF($A133="","",IFERROR(INDEX(Configurações!$B$5:$B$100,MATCH($C133,Configurações!$A$5:$A$100,0)),0))</f>
        <v/>
      </c>
      <c r="H133" s="78">
        <f>IF(OR($A133="",'Importar Reservas'!M125&lt;&gt;"Aprovado",$D133&lt;=0),"",MAX(0,IF($F133="Margem",$D133-$E133,$D133))*$G133)</f>
        <v/>
      </c>
    </row>
    <row r="134" ht="15" customHeight="1" s="79">
      <c r="A134" s="78">
        <f>IF('Importar Reservas'!A126="","",'Importar Reservas'!A126)</f>
        <v/>
      </c>
      <c r="B134" s="78">
        <f>IF($A134="","",'Importar Reservas'!B126)</f>
        <v/>
      </c>
      <c r="C134" s="78">
        <f>IF($A134="","",'Importar Reservas'!Z126)</f>
        <v/>
      </c>
      <c r="D134" s="78">
        <f>IF($A134="","",IF('Importar Reservas'!O126="",0,'Importar Reservas'!O126))</f>
        <v/>
      </c>
      <c r="E134" s="78">
        <f>IF($A134="","",IF('Importar Reservas'!N126="",0,'Importar Reservas'!N126))</f>
        <v/>
      </c>
      <c r="F134" s="78">
        <f>IF($A134="","",IFERROR(INDEX(Configurações!$C$5:$C$100,MATCH($C134,Configurações!$A$5:$A$100,0)),"Margem"))</f>
        <v/>
      </c>
      <c r="G134" s="78">
        <f>IF($A134="","",IFERROR(INDEX(Configurações!$B$5:$B$100,MATCH($C134,Configurações!$A$5:$A$100,0)),0))</f>
        <v/>
      </c>
      <c r="H134" s="78">
        <f>IF(OR($A134="",'Importar Reservas'!M126&lt;&gt;"Aprovado",$D134&lt;=0),"",MAX(0,IF($F134="Margem",$D134-$E134,$D134))*$G134)</f>
        <v/>
      </c>
    </row>
    <row r="135" ht="15" customHeight="1" s="79">
      <c r="A135" s="78">
        <f>IF('Importar Reservas'!A127="","",'Importar Reservas'!A127)</f>
        <v/>
      </c>
      <c r="B135" s="78">
        <f>IF($A135="","",'Importar Reservas'!B127)</f>
        <v/>
      </c>
      <c r="C135" s="78">
        <f>IF($A135="","",'Importar Reservas'!Z127)</f>
        <v/>
      </c>
      <c r="D135" s="78">
        <f>IF($A135="","",IF('Importar Reservas'!O127="",0,'Importar Reservas'!O127))</f>
        <v/>
      </c>
      <c r="E135" s="78">
        <f>IF($A135="","",IF('Importar Reservas'!N127="",0,'Importar Reservas'!N127))</f>
        <v/>
      </c>
      <c r="F135" s="78">
        <f>IF($A135="","",IFERROR(INDEX(Configurações!$C$5:$C$100,MATCH($C135,Configurações!$A$5:$A$100,0)),"Margem"))</f>
        <v/>
      </c>
      <c r="G135" s="78">
        <f>IF($A135="","",IFERROR(INDEX(Configurações!$B$5:$B$100,MATCH($C135,Configurações!$A$5:$A$100,0)),0))</f>
        <v/>
      </c>
      <c r="H135" s="78">
        <f>IF(OR($A135="",'Importar Reservas'!M127&lt;&gt;"Aprovado",$D135&lt;=0),"",MAX(0,IF($F135="Margem",$D135-$E135,$D135))*$G135)</f>
        <v/>
      </c>
    </row>
    <row r="136" ht="15" customHeight="1" s="79">
      <c r="A136" s="78">
        <f>IF('Importar Reservas'!A128="","",'Importar Reservas'!A128)</f>
        <v/>
      </c>
      <c r="B136" s="78">
        <f>IF($A136="","",'Importar Reservas'!B128)</f>
        <v/>
      </c>
      <c r="C136" s="78">
        <f>IF($A136="","",'Importar Reservas'!Z128)</f>
        <v/>
      </c>
      <c r="D136" s="78">
        <f>IF($A136="","",IF('Importar Reservas'!O128="",0,'Importar Reservas'!O128))</f>
        <v/>
      </c>
      <c r="E136" s="78">
        <f>IF($A136="","",IF('Importar Reservas'!N128="",0,'Importar Reservas'!N128))</f>
        <v/>
      </c>
      <c r="F136" s="78">
        <f>IF($A136="","",IFERROR(INDEX(Configurações!$C$5:$C$100,MATCH($C136,Configurações!$A$5:$A$100,0)),"Margem"))</f>
        <v/>
      </c>
      <c r="G136" s="78">
        <f>IF($A136="","",IFERROR(INDEX(Configurações!$B$5:$B$100,MATCH($C136,Configurações!$A$5:$A$100,0)),0))</f>
        <v/>
      </c>
      <c r="H136" s="78">
        <f>IF(OR($A136="",'Importar Reservas'!M128&lt;&gt;"Aprovado",$D136&lt;=0),"",MAX(0,IF($F136="Margem",$D136-$E136,$D136))*$G136)</f>
        <v/>
      </c>
    </row>
    <row r="137" ht="15" customHeight="1" s="79">
      <c r="A137" s="78">
        <f>IF('Importar Reservas'!A129="","",'Importar Reservas'!A129)</f>
        <v/>
      </c>
      <c r="B137" s="78">
        <f>IF($A137="","",'Importar Reservas'!B129)</f>
        <v/>
      </c>
      <c r="C137" s="78">
        <f>IF($A137="","",'Importar Reservas'!Z129)</f>
        <v/>
      </c>
      <c r="D137" s="78">
        <f>IF($A137="","",IF('Importar Reservas'!O129="",0,'Importar Reservas'!O129))</f>
        <v/>
      </c>
      <c r="E137" s="78">
        <f>IF($A137="","",IF('Importar Reservas'!N129="",0,'Importar Reservas'!N129))</f>
        <v/>
      </c>
      <c r="F137" s="78">
        <f>IF($A137="","",IFERROR(INDEX(Configurações!$C$5:$C$100,MATCH($C137,Configurações!$A$5:$A$100,0)),"Margem"))</f>
        <v/>
      </c>
      <c r="G137" s="78">
        <f>IF($A137="","",IFERROR(INDEX(Configurações!$B$5:$B$100,MATCH($C137,Configurações!$A$5:$A$100,0)),0))</f>
        <v/>
      </c>
      <c r="H137" s="78">
        <f>IF(OR($A137="",'Importar Reservas'!M129&lt;&gt;"Aprovado",$D137&lt;=0),"",MAX(0,IF($F137="Margem",$D137-$E137,$D137))*$G137)</f>
        <v/>
      </c>
    </row>
    <row r="138" ht="15" customHeight="1" s="79">
      <c r="A138" s="78">
        <f>IF('Importar Reservas'!A130="","",'Importar Reservas'!A130)</f>
        <v/>
      </c>
      <c r="B138" s="78">
        <f>IF($A138="","",'Importar Reservas'!B130)</f>
        <v/>
      </c>
      <c r="C138" s="78">
        <f>IF($A138="","",'Importar Reservas'!Z130)</f>
        <v/>
      </c>
      <c r="D138" s="78">
        <f>IF($A138="","",IF('Importar Reservas'!O130="",0,'Importar Reservas'!O130))</f>
        <v/>
      </c>
      <c r="E138" s="78">
        <f>IF($A138="","",IF('Importar Reservas'!N130="",0,'Importar Reservas'!N130))</f>
        <v/>
      </c>
      <c r="F138" s="78">
        <f>IF($A138="","",IFERROR(INDEX(Configurações!$C$5:$C$100,MATCH($C138,Configurações!$A$5:$A$100,0)),"Margem"))</f>
        <v/>
      </c>
      <c r="G138" s="78">
        <f>IF($A138="","",IFERROR(INDEX(Configurações!$B$5:$B$100,MATCH($C138,Configurações!$A$5:$A$100,0)),0))</f>
        <v/>
      </c>
      <c r="H138" s="78">
        <f>IF(OR($A138="",'Importar Reservas'!M130&lt;&gt;"Aprovado",$D138&lt;=0),"",MAX(0,IF($F138="Margem",$D138-$E138,$D138))*$G138)</f>
        <v/>
      </c>
    </row>
    <row r="139" ht="15" customHeight="1" s="79">
      <c r="A139" s="78">
        <f>IF('Importar Reservas'!A131="","",'Importar Reservas'!A131)</f>
        <v/>
      </c>
      <c r="B139" s="78">
        <f>IF($A139="","",'Importar Reservas'!B131)</f>
        <v/>
      </c>
      <c r="C139" s="78">
        <f>IF($A139="","",'Importar Reservas'!Z131)</f>
        <v/>
      </c>
      <c r="D139" s="78">
        <f>IF($A139="","",IF('Importar Reservas'!O131="",0,'Importar Reservas'!O131))</f>
        <v/>
      </c>
      <c r="E139" s="78">
        <f>IF($A139="","",IF('Importar Reservas'!N131="",0,'Importar Reservas'!N131))</f>
        <v/>
      </c>
      <c r="F139" s="78">
        <f>IF($A139="","",IFERROR(INDEX(Configurações!$C$5:$C$100,MATCH($C139,Configurações!$A$5:$A$100,0)),"Margem"))</f>
        <v/>
      </c>
      <c r="G139" s="78">
        <f>IF($A139="","",IFERROR(INDEX(Configurações!$B$5:$B$100,MATCH($C139,Configurações!$A$5:$A$100,0)),0))</f>
        <v/>
      </c>
      <c r="H139" s="78">
        <f>IF(OR($A139="",'Importar Reservas'!M131&lt;&gt;"Aprovado",$D139&lt;=0),"",MAX(0,IF($F139="Margem",$D139-$E139,$D139))*$G139)</f>
        <v/>
      </c>
    </row>
    <row r="140" ht="15" customHeight="1" s="79">
      <c r="A140" s="78">
        <f>IF('Importar Reservas'!A132="","",'Importar Reservas'!A132)</f>
        <v/>
      </c>
      <c r="B140" s="78">
        <f>IF($A140="","",'Importar Reservas'!B132)</f>
        <v/>
      </c>
      <c r="C140" s="78">
        <f>IF($A140="","",'Importar Reservas'!Z132)</f>
        <v/>
      </c>
      <c r="D140" s="78">
        <f>IF($A140="","",IF('Importar Reservas'!O132="",0,'Importar Reservas'!O132))</f>
        <v/>
      </c>
      <c r="E140" s="78">
        <f>IF($A140="","",IF('Importar Reservas'!N132="",0,'Importar Reservas'!N132))</f>
        <v/>
      </c>
      <c r="F140" s="78">
        <f>IF($A140="","",IFERROR(INDEX(Configurações!$C$5:$C$100,MATCH($C140,Configurações!$A$5:$A$100,0)),"Margem"))</f>
        <v/>
      </c>
      <c r="G140" s="78">
        <f>IF($A140="","",IFERROR(INDEX(Configurações!$B$5:$B$100,MATCH($C140,Configurações!$A$5:$A$100,0)),0))</f>
        <v/>
      </c>
      <c r="H140" s="78">
        <f>IF(OR($A140="",'Importar Reservas'!M132&lt;&gt;"Aprovado",$D140&lt;=0),"",MAX(0,IF($F140="Margem",$D140-$E140,$D140))*$G140)</f>
        <v/>
      </c>
    </row>
    <row r="141" ht="15" customHeight="1" s="79">
      <c r="A141" s="78">
        <f>IF('Importar Reservas'!A133="","",'Importar Reservas'!A133)</f>
        <v/>
      </c>
      <c r="B141" s="78">
        <f>IF($A141="","",'Importar Reservas'!B133)</f>
        <v/>
      </c>
      <c r="C141" s="78">
        <f>IF($A141="","",'Importar Reservas'!Z133)</f>
        <v/>
      </c>
      <c r="D141" s="78">
        <f>IF($A141="","",IF('Importar Reservas'!O133="",0,'Importar Reservas'!O133))</f>
        <v/>
      </c>
      <c r="E141" s="78">
        <f>IF($A141="","",IF('Importar Reservas'!N133="",0,'Importar Reservas'!N133))</f>
        <v/>
      </c>
      <c r="F141" s="78">
        <f>IF($A141="","",IFERROR(INDEX(Configurações!$C$5:$C$100,MATCH($C141,Configurações!$A$5:$A$100,0)),"Margem"))</f>
        <v/>
      </c>
      <c r="G141" s="78">
        <f>IF($A141="","",IFERROR(INDEX(Configurações!$B$5:$B$100,MATCH($C141,Configurações!$A$5:$A$100,0)),0))</f>
        <v/>
      </c>
      <c r="H141" s="78">
        <f>IF(OR($A141="",'Importar Reservas'!M133&lt;&gt;"Aprovado",$D141&lt;=0),"",MAX(0,IF($F141="Margem",$D141-$E141,$D141))*$G141)</f>
        <v/>
      </c>
    </row>
    <row r="142" ht="15" customHeight="1" s="79">
      <c r="A142" s="78">
        <f>IF('Importar Reservas'!A134="","",'Importar Reservas'!A134)</f>
        <v/>
      </c>
      <c r="B142" s="78">
        <f>IF($A142="","",'Importar Reservas'!B134)</f>
        <v/>
      </c>
      <c r="C142" s="78">
        <f>IF($A142="","",'Importar Reservas'!Z134)</f>
        <v/>
      </c>
      <c r="D142" s="78">
        <f>IF($A142="","",IF('Importar Reservas'!O134="",0,'Importar Reservas'!O134))</f>
        <v/>
      </c>
      <c r="E142" s="78">
        <f>IF($A142="","",IF('Importar Reservas'!N134="",0,'Importar Reservas'!N134))</f>
        <v/>
      </c>
      <c r="F142" s="78">
        <f>IF($A142="","",IFERROR(INDEX(Configurações!$C$5:$C$100,MATCH($C142,Configurações!$A$5:$A$100,0)),"Margem"))</f>
        <v/>
      </c>
      <c r="G142" s="78">
        <f>IF($A142="","",IFERROR(INDEX(Configurações!$B$5:$B$100,MATCH($C142,Configurações!$A$5:$A$100,0)),0))</f>
        <v/>
      </c>
      <c r="H142" s="78">
        <f>IF(OR($A142="",'Importar Reservas'!M134&lt;&gt;"Aprovado",$D142&lt;=0),"",MAX(0,IF($F142="Margem",$D142-$E142,$D142))*$G142)</f>
        <v/>
      </c>
    </row>
    <row r="143" ht="15" customHeight="1" s="79">
      <c r="A143" s="78">
        <f>IF('Importar Reservas'!A135="","",'Importar Reservas'!A135)</f>
        <v/>
      </c>
      <c r="B143" s="78">
        <f>IF($A143="","",'Importar Reservas'!B135)</f>
        <v/>
      </c>
      <c r="C143" s="78">
        <f>IF($A143="","",'Importar Reservas'!Z135)</f>
        <v/>
      </c>
      <c r="D143" s="78">
        <f>IF($A143="","",IF('Importar Reservas'!O135="",0,'Importar Reservas'!O135))</f>
        <v/>
      </c>
      <c r="E143" s="78">
        <f>IF($A143="","",IF('Importar Reservas'!N135="",0,'Importar Reservas'!N135))</f>
        <v/>
      </c>
      <c r="F143" s="78">
        <f>IF($A143="","",IFERROR(INDEX(Configurações!$C$5:$C$100,MATCH($C143,Configurações!$A$5:$A$100,0)),"Margem"))</f>
        <v/>
      </c>
      <c r="G143" s="78">
        <f>IF($A143="","",IFERROR(INDEX(Configurações!$B$5:$B$100,MATCH($C143,Configurações!$A$5:$A$100,0)),0))</f>
        <v/>
      </c>
      <c r="H143" s="78">
        <f>IF(OR($A143="",'Importar Reservas'!M135&lt;&gt;"Aprovado",$D143&lt;=0),"",MAX(0,IF($F143="Margem",$D143-$E143,$D143))*$G143)</f>
        <v/>
      </c>
    </row>
    <row r="144" ht="15" customHeight="1" s="79">
      <c r="A144" s="78">
        <f>IF('Importar Reservas'!A136="","",'Importar Reservas'!A136)</f>
        <v/>
      </c>
      <c r="B144" s="78">
        <f>IF($A144="","",'Importar Reservas'!B136)</f>
        <v/>
      </c>
      <c r="C144" s="78">
        <f>IF($A144="","",'Importar Reservas'!Z136)</f>
        <v/>
      </c>
      <c r="D144" s="78">
        <f>IF($A144="","",IF('Importar Reservas'!O136="",0,'Importar Reservas'!O136))</f>
        <v/>
      </c>
      <c r="E144" s="78">
        <f>IF($A144="","",IF('Importar Reservas'!N136="",0,'Importar Reservas'!N136))</f>
        <v/>
      </c>
      <c r="F144" s="78">
        <f>IF($A144="","",IFERROR(INDEX(Configurações!$C$5:$C$100,MATCH($C144,Configurações!$A$5:$A$100,0)),"Margem"))</f>
        <v/>
      </c>
      <c r="G144" s="78">
        <f>IF($A144="","",IFERROR(INDEX(Configurações!$B$5:$B$100,MATCH($C144,Configurações!$A$5:$A$100,0)),0))</f>
        <v/>
      </c>
      <c r="H144" s="78">
        <f>IF(OR($A144="",'Importar Reservas'!M136&lt;&gt;"Aprovado",$D144&lt;=0),"",MAX(0,IF($F144="Margem",$D144-$E144,$D144))*$G144)</f>
        <v/>
      </c>
    </row>
    <row r="145" ht="15" customHeight="1" s="79">
      <c r="A145" s="78">
        <f>IF('Importar Reservas'!A137="","",'Importar Reservas'!A137)</f>
        <v/>
      </c>
      <c r="B145" s="78">
        <f>IF($A145="","",'Importar Reservas'!B137)</f>
        <v/>
      </c>
      <c r="C145" s="78">
        <f>IF($A145="","",'Importar Reservas'!Z137)</f>
        <v/>
      </c>
      <c r="D145" s="78">
        <f>IF($A145="","",IF('Importar Reservas'!O137="",0,'Importar Reservas'!O137))</f>
        <v/>
      </c>
      <c r="E145" s="78">
        <f>IF($A145="","",IF('Importar Reservas'!N137="",0,'Importar Reservas'!N137))</f>
        <v/>
      </c>
      <c r="F145" s="78">
        <f>IF($A145="","",IFERROR(INDEX(Configurações!$C$5:$C$100,MATCH($C145,Configurações!$A$5:$A$100,0)),"Margem"))</f>
        <v/>
      </c>
      <c r="G145" s="78">
        <f>IF($A145="","",IFERROR(INDEX(Configurações!$B$5:$B$100,MATCH($C145,Configurações!$A$5:$A$100,0)),0))</f>
        <v/>
      </c>
      <c r="H145" s="78">
        <f>IF(OR($A145="",'Importar Reservas'!M137&lt;&gt;"Aprovado",$D145&lt;=0),"",MAX(0,IF($F145="Margem",$D145-$E145,$D145))*$G145)</f>
        <v/>
      </c>
    </row>
    <row r="146" ht="15" customHeight="1" s="79">
      <c r="A146" s="78">
        <f>IF('Importar Reservas'!A138="","",'Importar Reservas'!A138)</f>
        <v/>
      </c>
      <c r="B146" s="78">
        <f>IF($A146="","",'Importar Reservas'!B138)</f>
        <v/>
      </c>
      <c r="C146" s="78">
        <f>IF($A146="","",'Importar Reservas'!Z138)</f>
        <v/>
      </c>
      <c r="D146" s="78">
        <f>IF($A146="","",IF('Importar Reservas'!O138="",0,'Importar Reservas'!O138))</f>
        <v/>
      </c>
      <c r="E146" s="78">
        <f>IF($A146="","",IF('Importar Reservas'!N138="",0,'Importar Reservas'!N138))</f>
        <v/>
      </c>
      <c r="F146" s="78">
        <f>IF($A146="","",IFERROR(INDEX(Configurações!$C$5:$C$100,MATCH($C146,Configurações!$A$5:$A$100,0)),"Margem"))</f>
        <v/>
      </c>
      <c r="G146" s="78">
        <f>IF($A146="","",IFERROR(INDEX(Configurações!$B$5:$B$100,MATCH($C146,Configurações!$A$5:$A$100,0)),0))</f>
        <v/>
      </c>
      <c r="H146" s="78">
        <f>IF(OR($A146="",'Importar Reservas'!M138&lt;&gt;"Aprovado",$D146&lt;=0),"",MAX(0,IF($F146="Margem",$D146-$E146,$D146))*$G146)</f>
        <v/>
      </c>
    </row>
    <row r="147" ht="15" customHeight="1" s="79">
      <c r="A147" s="78">
        <f>IF('Importar Reservas'!A139="","",'Importar Reservas'!A139)</f>
        <v/>
      </c>
      <c r="B147" s="78">
        <f>IF($A147="","",'Importar Reservas'!B139)</f>
        <v/>
      </c>
      <c r="C147" s="78">
        <f>IF($A147="","",'Importar Reservas'!Z139)</f>
        <v/>
      </c>
      <c r="D147" s="78">
        <f>IF($A147="","",IF('Importar Reservas'!O139="",0,'Importar Reservas'!O139))</f>
        <v/>
      </c>
      <c r="E147" s="78">
        <f>IF($A147="","",IF('Importar Reservas'!N139="",0,'Importar Reservas'!N139))</f>
        <v/>
      </c>
      <c r="F147" s="78">
        <f>IF($A147="","",IFERROR(INDEX(Configurações!$C$5:$C$100,MATCH($C147,Configurações!$A$5:$A$100,0)),"Margem"))</f>
        <v/>
      </c>
      <c r="G147" s="78">
        <f>IF($A147="","",IFERROR(INDEX(Configurações!$B$5:$B$100,MATCH($C147,Configurações!$A$5:$A$100,0)),0))</f>
        <v/>
      </c>
      <c r="H147" s="78">
        <f>IF(OR($A147="",'Importar Reservas'!M139&lt;&gt;"Aprovado",$D147&lt;=0),"",MAX(0,IF($F147="Margem",$D147-$E147,$D147))*$G147)</f>
        <v/>
      </c>
    </row>
    <row r="148" ht="15" customHeight="1" s="79">
      <c r="A148" s="78">
        <f>IF('Importar Reservas'!A140="","",'Importar Reservas'!A140)</f>
        <v/>
      </c>
      <c r="B148" s="78">
        <f>IF($A148="","",'Importar Reservas'!B140)</f>
        <v/>
      </c>
      <c r="C148" s="78">
        <f>IF($A148="","",'Importar Reservas'!Z140)</f>
        <v/>
      </c>
      <c r="D148" s="78">
        <f>IF($A148="","",IF('Importar Reservas'!O140="",0,'Importar Reservas'!O140))</f>
        <v/>
      </c>
      <c r="E148" s="78">
        <f>IF($A148="","",IF('Importar Reservas'!N140="",0,'Importar Reservas'!N140))</f>
        <v/>
      </c>
      <c r="F148" s="78">
        <f>IF($A148="","",IFERROR(INDEX(Configurações!$C$5:$C$100,MATCH($C148,Configurações!$A$5:$A$100,0)),"Margem"))</f>
        <v/>
      </c>
      <c r="G148" s="78">
        <f>IF($A148="","",IFERROR(INDEX(Configurações!$B$5:$B$100,MATCH($C148,Configurações!$A$5:$A$100,0)),0))</f>
        <v/>
      </c>
      <c r="H148" s="78">
        <f>IF(OR($A148="",'Importar Reservas'!M140&lt;&gt;"Aprovado",$D148&lt;=0),"",MAX(0,IF($F148="Margem",$D148-$E148,$D148))*$G148)</f>
        <v/>
      </c>
    </row>
    <row r="149" ht="15" customHeight="1" s="79">
      <c r="A149" s="78">
        <f>IF('Importar Reservas'!A141="","",'Importar Reservas'!A141)</f>
        <v/>
      </c>
      <c r="B149" s="78">
        <f>IF($A149="","",'Importar Reservas'!B141)</f>
        <v/>
      </c>
      <c r="C149" s="78">
        <f>IF($A149="","",'Importar Reservas'!Z141)</f>
        <v/>
      </c>
      <c r="D149" s="78">
        <f>IF($A149="","",IF('Importar Reservas'!O141="",0,'Importar Reservas'!O141))</f>
        <v/>
      </c>
      <c r="E149" s="78">
        <f>IF($A149="","",IF('Importar Reservas'!N141="",0,'Importar Reservas'!N141))</f>
        <v/>
      </c>
      <c r="F149" s="78">
        <f>IF($A149="","",IFERROR(INDEX(Configurações!$C$5:$C$100,MATCH($C149,Configurações!$A$5:$A$100,0)),"Margem"))</f>
        <v/>
      </c>
      <c r="G149" s="78">
        <f>IF($A149="","",IFERROR(INDEX(Configurações!$B$5:$B$100,MATCH($C149,Configurações!$A$5:$A$100,0)),0))</f>
        <v/>
      </c>
      <c r="H149" s="78">
        <f>IF(OR($A149="",'Importar Reservas'!M141&lt;&gt;"Aprovado",$D149&lt;=0),"",MAX(0,IF($F149="Margem",$D149-$E149,$D149))*$G149)</f>
        <v/>
      </c>
    </row>
    <row r="150" ht="15" customHeight="1" s="79">
      <c r="A150" s="78">
        <f>IF('Importar Reservas'!A142="","",'Importar Reservas'!A142)</f>
        <v/>
      </c>
      <c r="B150" s="78">
        <f>IF($A150="","",'Importar Reservas'!B142)</f>
        <v/>
      </c>
      <c r="C150" s="78">
        <f>IF($A150="","",'Importar Reservas'!Z142)</f>
        <v/>
      </c>
      <c r="D150" s="78">
        <f>IF($A150="","",IF('Importar Reservas'!O142="",0,'Importar Reservas'!O142))</f>
        <v/>
      </c>
      <c r="E150" s="78">
        <f>IF($A150="","",IF('Importar Reservas'!N142="",0,'Importar Reservas'!N142))</f>
        <v/>
      </c>
      <c r="F150" s="78">
        <f>IF($A150="","",IFERROR(INDEX(Configurações!$C$5:$C$100,MATCH($C150,Configurações!$A$5:$A$100,0)),"Margem"))</f>
        <v/>
      </c>
      <c r="G150" s="78">
        <f>IF($A150="","",IFERROR(INDEX(Configurações!$B$5:$B$100,MATCH($C150,Configurações!$A$5:$A$100,0)),0))</f>
        <v/>
      </c>
      <c r="H150" s="78">
        <f>IF(OR($A150="",'Importar Reservas'!M142&lt;&gt;"Aprovado",$D150&lt;=0),"",MAX(0,IF($F150="Margem",$D150-$E150,$D150))*$G150)</f>
        <v/>
      </c>
    </row>
    <row r="151" ht="15" customHeight="1" s="79">
      <c r="A151" s="78">
        <f>IF('Importar Reservas'!A143="","",'Importar Reservas'!A143)</f>
        <v/>
      </c>
      <c r="B151" s="78">
        <f>IF($A151="","",'Importar Reservas'!B143)</f>
        <v/>
      </c>
      <c r="C151" s="78">
        <f>IF($A151="","",'Importar Reservas'!Z143)</f>
        <v/>
      </c>
      <c r="D151" s="78">
        <f>IF($A151="","",IF('Importar Reservas'!O143="",0,'Importar Reservas'!O143))</f>
        <v/>
      </c>
      <c r="E151" s="78">
        <f>IF($A151="","",IF('Importar Reservas'!N143="",0,'Importar Reservas'!N143))</f>
        <v/>
      </c>
      <c r="F151" s="78">
        <f>IF($A151="","",IFERROR(INDEX(Configurações!$C$5:$C$100,MATCH($C151,Configurações!$A$5:$A$100,0)),"Margem"))</f>
        <v/>
      </c>
      <c r="G151" s="78">
        <f>IF($A151="","",IFERROR(INDEX(Configurações!$B$5:$B$100,MATCH($C151,Configurações!$A$5:$A$100,0)),0))</f>
        <v/>
      </c>
      <c r="H151" s="78">
        <f>IF(OR($A151="",'Importar Reservas'!M143&lt;&gt;"Aprovado",$D151&lt;=0),"",MAX(0,IF($F151="Margem",$D151-$E151,$D151))*$G151)</f>
        <v/>
      </c>
    </row>
    <row r="152" ht="15" customHeight="1" s="79">
      <c r="A152" s="78">
        <f>IF('Importar Reservas'!A144="","",'Importar Reservas'!A144)</f>
        <v/>
      </c>
      <c r="B152" s="78">
        <f>IF($A152="","",'Importar Reservas'!B144)</f>
        <v/>
      </c>
      <c r="C152" s="78">
        <f>IF($A152="","",'Importar Reservas'!Z144)</f>
        <v/>
      </c>
      <c r="D152" s="78">
        <f>IF($A152="","",IF('Importar Reservas'!O144="",0,'Importar Reservas'!O144))</f>
        <v/>
      </c>
      <c r="E152" s="78">
        <f>IF($A152="","",IF('Importar Reservas'!N144="",0,'Importar Reservas'!N144))</f>
        <v/>
      </c>
      <c r="F152" s="78">
        <f>IF($A152="","",IFERROR(INDEX(Configurações!$C$5:$C$100,MATCH($C152,Configurações!$A$5:$A$100,0)),"Margem"))</f>
        <v/>
      </c>
      <c r="G152" s="78">
        <f>IF($A152="","",IFERROR(INDEX(Configurações!$B$5:$B$100,MATCH($C152,Configurações!$A$5:$A$100,0)),0))</f>
        <v/>
      </c>
      <c r="H152" s="78">
        <f>IF(OR($A152="",'Importar Reservas'!M144&lt;&gt;"Aprovado",$D152&lt;=0),"",MAX(0,IF($F152="Margem",$D152-$E152,$D152))*$G152)</f>
        <v/>
      </c>
    </row>
    <row r="153" ht="15" customHeight="1" s="79">
      <c r="A153" s="78">
        <f>IF('Importar Reservas'!A145="","",'Importar Reservas'!A145)</f>
        <v/>
      </c>
      <c r="B153" s="78">
        <f>IF($A153="","",'Importar Reservas'!B145)</f>
        <v/>
      </c>
      <c r="C153" s="78">
        <f>IF($A153="","",'Importar Reservas'!Z145)</f>
        <v/>
      </c>
      <c r="D153" s="78">
        <f>IF($A153="","",IF('Importar Reservas'!O145="",0,'Importar Reservas'!O145))</f>
        <v/>
      </c>
      <c r="E153" s="78">
        <f>IF($A153="","",IF('Importar Reservas'!N145="",0,'Importar Reservas'!N145))</f>
        <v/>
      </c>
      <c r="F153" s="78">
        <f>IF($A153="","",IFERROR(INDEX(Configurações!$C$5:$C$100,MATCH($C153,Configurações!$A$5:$A$100,0)),"Margem"))</f>
        <v/>
      </c>
      <c r="G153" s="78">
        <f>IF($A153="","",IFERROR(INDEX(Configurações!$B$5:$B$100,MATCH($C153,Configurações!$A$5:$A$100,0)),0))</f>
        <v/>
      </c>
      <c r="H153" s="78">
        <f>IF(OR($A153="",'Importar Reservas'!M145&lt;&gt;"Aprovado",$D153&lt;=0),"",MAX(0,IF($F153="Margem",$D153-$E153,$D153))*$G153)</f>
        <v/>
      </c>
    </row>
    <row r="154" ht="15" customHeight="1" s="79">
      <c r="A154" s="78">
        <f>IF('Importar Reservas'!A146="","",'Importar Reservas'!A146)</f>
        <v/>
      </c>
      <c r="B154" s="78">
        <f>IF($A154="","",'Importar Reservas'!B146)</f>
        <v/>
      </c>
      <c r="C154" s="78">
        <f>IF($A154="","",'Importar Reservas'!Z146)</f>
        <v/>
      </c>
      <c r="D154" s="78">
        <f>IF($A154="","",IF('Importar Reservas'!O146="",0,'Importar Reservas'!O146))</f>
        <v/>
      </c>
      <c r="E154" s="78">
        <f>IF($A154="","",IF('Importar Reservas'!N146="",0,'Importar Reservas'!N146))</f>
        <v/>
      </c>
      <c r="F154" s="78">
        <f>IF($A154="","",IFERROR(INDEX(Configurações!$C$5:$C$100,MATCH($C154,Configurações!$A$5:$A$100,0)),"Margem"))</f>
        <v/>
      </c>
      <c r="G154" s="78">
        <f>IF($A154="","",IFERROR(INDEX(Configurações!$B$5:$B$100,MATCH($C154,Configurações!$A$5:$A$100,0)),0))</f>
        <v/>
      </c>
      <c r="H154" s="78">
        <f>IF(OR($A154="",'Importar Reservas'!M146&lt;&gt;"Aprovado",$D154&lt;=0),"",MAX(0,IF($F154="Margem",$D154-$E154,$D154))*$G154)</f>
        <v/>
      </c>
    </row>
    <row r="155" ht="15" customHeight="1" s="79">
      <c r="A155" s="78">
        <f>IF('Importar Reservas'!A147="","",'Importar Reservas'!A147)</f>
        <v/>
      </c>
      <c r="B155" s="78">
        <f>IF($A155="","",'Importar Reservas'!B147)</f>
        <v/>
      </c>
      <c r="C155" s="78">
        <f>IF($A155="","",'Importar Reservas'!Z147)</f>
        <v/>
      </c>
      <c r="D155" s="78">
        <f>IF($A155="","",IF('Importar Reservas'!O147="",0,'Importar Reservas'!O147))</f>
        <v/>
      </c>
      <c r="E155" s="78">
        <f>IF($A155="","",IF('Importar Reservas'!N147="",0,'Importar Reservas'!N147))</f>
        <v/>
      </c>
      <c r="F155" s="78">
        <f>IF($A155="","",IFERROR(INDEX(Configurações!$C$5:$C$100,MATCH($C155,Configurações!$A$5:$A$100,0)),"Margem"))</f>
        <v/>
      </c>
      <c r="G155" s="78">
        <f>IF($A155="","",IFERROR(INDEX(Configurações!$B$5:$B$100,MATCH($C155,Configurações!$A$5:$A$100,0)),0))</f>
        <v/>
      </c>
      <c r="H155" s="78">
        <f>IF(OR($A155="",'Importar Reservas'!M147&lt;&gt;"Aprovado",$D155&lt;=0),"",MAX(0,IF($F155="Margem",$D155-$E155,$D155))*$G155)</f>
        <v/>
      </c>
    </row>
    <row r="156" ht="15" customHeight="1" s="79">
      <c r="A156" s="78">
        <f>IF('Importar Reservas'!A148="","",'Importar Reservas'!A148)</f>
        <v/>
      </c>
      <c r="B156" s="78">
        <f>IF($A156="","",'Importar Reservas'!B148)</f>
        <v/>
      </c>
      <c r="C156" s="78">
        <f>IF($A156="","",'Importar Reservas'!Z148)</f>
        <v/>
      </c>
      <c r="D156" s="78">
        <f>IF($A156="","",IF('Importar Reservas'!O148="",0,'Importar Reservas'!O148))</f>
        <v/>
      </c>
      <c r="E156" s="78">
        <f>IF($A156="","",IF('Importar Reservas'!N148="",0,'Importar Reservas'!N148))</f>
        <v/>
      </c>
      <c r="F156" s="78">
        <f>IF($A156="","",IFERROR(INDEX(Configurações!$C$5:$C$100,MATCH($C156,Configurações!$A$5:$A$100,0)),"Margem"))</f>
        <v/>
      </c>
      <c r="G156" s="78">
        <f>IF($A156="","",IFERROR(INDEX(Configurações!$B$5:$B$100,MATCH($C156,Configurações!$A$5:$A$100,0)),0))</f>
        <v/>
      </c>
      <c r="H156" s="78">
        <f>IF(OR($A156="",'Importar Reservas'!M148&lt;&gt;"Aprovado",$D156&lt;=0),"",MAX(0,IF($F156="Margem",$D156-$E156,$D156))*$G156)</f>
        <v/>
      </c>
    </row>
    <row r="157" ht="15" customHeight="1" s="79">
      <c r="A157" s="78">
        <f>IF('Importar Reservas'!A149="","",'Importar Reservas'!A149)</f>
        <v/>
      </c>
      <c r="B157" s="78">
        <f>IF($A157="","",'Importar Reservas'!B149)</f>
        <v/>
      </c>
      <c r="C157" s="78">
        <f>IF($A157="","",'Importar Reservas'!Z149)</f>
        <v/>
      </c>
      <c r="D157" s="78">
        <f>IF($A157="","",IF('Importar Reservas'!O149="",0,'Importar Reservas'!O149))</f>
        <v/>
      </c>
      <c r="E157" s="78">
        <f>IF($A157="","",IF('Importar Reservas'!N149="",0,'Importar Reservas'!N149))</f>
        <v/>
      </c>
      <c r="F157" s="78">
        <f>IF($A157="","",IFERROR(INDEX(Configurações!$C$5:$C$100,MATCH($C157,Configurações!$A$5:$A$100,0)),"Margem"))</f>
        <v/>
      </c>
      <c r="G157" s="78">
        <f>IF($A157="","",IFERROR(INDEX(Configurações!$B$5:$B$100,MATCH($C157,Configurações!$A$5:$A$100,0)),0))</f>
        <v/>
      </c>
      <c r="H157" s="78">
        <f>IF(OR($A157="",'Importar Reservas'!M149&lt;&gt;"Aprovado",$D157&lt;=0),"",MAX(0,IF($F157="Margem",$D157-$E157,$D157))*$G157)</f>
        <v/>
      </c>
    </row>
    <row r="158" ht="15" customHeight="1" s="79">
      <c r="A158" s="78">
        <f>IF('Importar Reservas'!A150="","",'Importar Reservas'!A150)</f>
        <v/>
      </c>
      <c r="B158" s="78">
        <f>IF($A158="","",'Importar Reservas'!B150)</f>
        <v/>
      </c>
      <c r="C158" s="78">
        <f>IF($A158="","",'Importar Reservas'!Z150)</f>
        <v/>
      </c>
      <c r="D158" s="78">
        <f>IF($A158="","",IF('Importar Reservas'!O150="",0,'Importar Reservas'!O150))</f>
        <v/>
      </c>
      <c r="E158" s="78">
        <f>IF($A158="","",IF('Importar Reservas'!N150="",0,'Importar Reservas'!N150))</f>
        <v/>
      </c>
      <c r="F158" s="78">
        <f>IF($A158="","",IFERROR(INDEX(Configurações!$C$5:$C$100,MATCH($C158,Configurações!$A$5:$A$100,0)),"Margem"))</f>
        <v/>
      </c>
      <c r="G158" s="78">
        <f>IF($A158="","",IFERROR(INDEX(Configurações!$B$5:$B$100,MATCH($C158,Configurações!$A$5:$A$100,0)),0))</f>
        <v/>
      </c>
      <c r="H158" s="78">
        <f>IF(OR($A158="",'Importar Reservas'!M150&lt;&gt;"Aprovado",$D158&lt;=0),"",MAX(0,IF($F158="Margem",$D158-$E158,$D158))*$G158)</f>
        <v/>
      </c>
    </row>
    <row r="159" ht="15" customHeight="1" s="79">
      <c r="A159" s="78">
        <f>IF('Importar Reservas'!A151="","",'Importar Reservas'!A151)</f>
        <v/>
      </c>
      <c r="B159" s="78">
        <f>IF($A159="","",'Importar Reservas'!B151)</f>
        <v/>
      </c>
      <c r="C159" s="78">
        <f>IF($A159="","",'Importar Reservas'!Z151)</f>
        <v/>
      </c>
      <c r="D159" s="78">
        <f>IF($A159="","",IF('Importar Reservas'!O151="",0,'Importar Reservas'!O151))</f>
        <v/>
      </c>
      <c r="E159" s="78">
        <f>IF($A159="","",IF('Importar Reservas'!N151="",0,'Importar Reservas'!N151))</f>
        <v/>
      </c>
      <c r="F159" s="78">
        <f>IF($A159="","",IFERROR(INDEX(Configurações!$C$5:$C$100,MATCH($C159,Configurações!$A$5:$A$100,0)),"Margem"))</f>
        <v/>
      </c>
      <c r="G159" s="78">
        <f>IF($A159="","",IFERROR(INDEX(Configurações!$B$5:$B$100,MATCH($C159,Configurações!$A$5:$A$100,0)),0))</f>
        <v/>
      </c>
      <c r="H159" s="78">
        <f>IF(OR($A159="",'Importar Reservas'!M151&lt;&gt;"Aprovado",$D159&lt;=0),"",MAX(0,IF($F159="Margem",$D159-$E159,$D159))*$G159)</f>
        <v/>
      </c>
    </row>
    <row r="160" ht="15" customHeight="1" s="79">
      <c r="A160" s="78">
        <f>IF('Importar Reservas'!A152="","",'Importar Reservas'!A152)</f>
        <v/>
      </c>
      <c r="B160" s="78">
        <f>IF($A160="","",'Importar Reservas'!B152)</f>
        <v/>
      </c>
      <c r="C160" s="78">
        <f>IF($A160="","",'Importar Reservas'!Z152)</f>
        <v/>
      </c>
      <c r="D160" s="78">
        <f>IF($A160="","",IF('Importar Reservas'!O152="",0,'Importar Reservas'!O152))</f>
        <v/>
      </c>
      <c r="E160" s="78">
        <f>IF($A160="","",IF('Importar Reservas'!N152="",0,'Importar Reservas'!N152))</f>
        <v/>
      </c>
      <c r="F160" s="78">
        <f>IF($A160="","",IFERROR(INDEX(Configurações!$C$5:$C$100,MATCH($C160,Configurações!$A$5:$A$100,0)),"Margem"))</f>
        <v/>
      </c>
      <c r="G160" s="78">
        <f>IF($A160="","",IFERROR(INDEX(Configurações!$B$5:$B$100,MATCH($C160,Configurações!$A$5:$A$100,0)),0))</f>
        <v/>
      </c>
      <c r="H160" s="78">
        <f>IF(OR($A160="",'Importar Reservas'!M152&lt;&gt;"Aprovado",$D160&lt;=0),"",MAX(0,IF($F160="Margem",$D160-$E160,$D160))*$G160)</f>
        <v/>
      </c>
    </row>
    <row r="161" ht="15" customHeight="1" s="79">
      <c r="A161" s="78">
        <f>IF('Importar Reservas'!A153="","",'Importar Reservas'!A153)</f>
        <v/>
      </c>
      <c r="B161" s="78">
        <f>IF($A161="","",'Importar Reservas'!B153)</f>
        <v/>
      </c>
      <c r="C161" s="78">
        <f>IF($A161="","",'Importar Reservas'!Z153)</f>
        <v/>
      </c>
      <c r="D161" s="78">
        <f>IF($A161="","",IF('Importar Reservas'!O153="",0,'Importar Reservas'!O153))</f>
        <v/>
      </c>
      <c r="E161" s="78">
        <f>IF($A161="","",IF('Importar Reservas'!N153="",0,'Importar Reservas'!N153))</f>
        <v/>
      </c>
      <c r="F161" s="78">
        <f>IF($A161="","",IFERROR(INDEX(Configurações!$C$5:$C$100,MATCH($C161,Configurações!$A$5:$A$100,0)),"Margem"))</f>
        <v/>
      </c>
      <c r="G161" s="78">
        <f>IF($A161="","",IFERROR(INDEX(Configurações!$B$5:$B$100,MATCH($C161,Configurações!$A$5:$A$100,0)),0))</f>
        <v/>
      </c>
      <c r="H161" s="78">
        <f>IF(OR($A161="",'Importar Reservas'!M153&lt;&gt;"Aprovado",$D161&lt;=0),"",MAX(0,IF($F161="Margem",$D161-$E161,$D161))*$G161)</f>
        <v/>
      </c>
    </row>
    <row r="162" ht="15" customHeight="1" s="79">
      <c r="A162" s="78">
        <f>IF('Importar Reservas'!A154="","",'Importar Reservas'!A154)</f>
        <v/>
      </c>
      <c r="B162" s="78">
        <f>IF($A162="","",'Importar Reservas'!B154)</f>
        <v/>
      </c>
      <c r="C162" s="78">
        <f>IF($A162="","",'Importar Reservas'!Z154)</f>
        <v/>
      </c>
      <c r="D162" s="78">
        <f>IF($A162="","",IF('Importar Reservas'!O154="",0,'Importar Reservas'!O154))</f>
        <v/>
      </c>
      <c r="E162" s="78">
        <f>IF($A162="","",IF('Importar Reservas'!N154="",0,'Importar Reservas'!N154))</f>
        <v/>
      </c>
      <c r="F162" s="78">
        <f>IF($A162="","",IFERROR(INDEX(Configurações!$C$5:$C$100,MATCH($C162,Configurações!$A$5:$A$100,0)),"Margem"))</f>
        <v/>
      </c>
      <c r="G162" s="78">
        <f>IF($A162="","",IFERROR(INDEX(Configurações!$B$5:$B$100,MATCH($C162,Configurações!$A$5:$A$100,0)),0))</f>
        <v/>
      </c>
      <c r="H162" s="78">
        <f>IF(OR($A162="",'Importar Reservas'!M154&lt;&gt;"Aprovado",$D162&lt;=0),"",MAX(0,IF($F162="Margem",$D162-$E162,$D162))*$G162)</f>
        <v/>
      </c>
    </row>
    <row r="163" ht="15" customHeight="1" s="79">
      <c r="A163" s="78">
        <f>IF('Importar Reservas'!A155="","",'Importar Reservas'!A155)</f>
        <v/>
      </c>
      <c r="B163" s="78">
        <f>IF($A163="","",'Importar Reservas'!B155)</f>
        <v/>
      </c>
      <c r="C163" s="78">
        <f>IF($A163="","",'Importar Reservas'!Z155)</f>
        <v/>
      </c>
      <c r="D163" s="78">
        <f>IF($A163="","",IF('Importar Reservas'!O155="",0,'Importar Reservas'!O155))</f>
        <v/>
      </c>
      <c r="E163" s="78">
        <f>IF($A163="","",IF('Importar Reservas'!N155="",0,'Importar Reservas'!N155))</f>
        <v/>
      </c>
      <c r="F163" s="78">
        <f>IF($A163="","",IFERROR(INDEX(Configurações!$C$5:$C$100,MATCH($C163,Configurações!$A$5:$A$100,0)),"Margem"))</f>
        <v/>
      </c>
      <c r="G163" s="78">
        <f>IF($A163="","",IFERROR(INDEX(Configurações!$B$5:$B$100,MATCH($C163,Configurações!$A$5:$A$100,0)),0))</f>
        <v/>
      </c>
      <c r="H163" s="78">
        <f>IF(OR($A163="",'Importar Reservas'!M155&lt;&gt;"Aprovado",$D163&lt;=0),"",MAX(0,IF($F163="Margem",$D163-$E163,$D163))*$G163)</f>
        <v/>
      </c>
    </row>
    <row r="164" ht="15" customHeight="1" s="79">
      <c r="A164" s="78">
        <f>IF('Importar Reservas'!A156="","",'Importar Reservas'!A156)</f>
        <v/>
      </c>
      <c r="B164" s="78">
        <f>IF($A164="","",'Importar Reservas'!B156)</f>
        <v/>
      </c>
      <c r="C164" s="78">
        <f>IF($A164="","",'Importar Reservas'!Z156)</f>
        <v/>
      </c>
      <c r="D164" s="78">
        <f>IF($A164="","",IF('Importar Reservas'!O156="",0,'Importar Reservas'!O156))</f>
        <v/>
      </c>
      <c r="E164" s="78">
        <f>IF($A164="","",IF('Importar Reservas'!N156="",0,'Importar Reservas'!N156))</f>
        <v/>
      </c>
      <c r="F164" s="78">
        <f>IF($A164="","",IFERROR(INDEX(Configurações!$C$5:$C$100,MATCH($C164,Configurações!$A$5:$A$100,0)),"Margem"))</f>
        <v/>
      </c>
      <c r="G164" s="78">
        <f>IF($A164="","",IFERROR(INDEX(Configurações!$B$5:$B$100,MATCH($C164,Configurações!$A$5:$A$100,0)),0))</f>
        <v/>
      </c>
      <c r="H164" s="78">
        <f>IF(OR($A164="",'Importar Reservas'!M156&lt;&gt;"Aprovado",$D164&lt;=0),"",MAX(0,IF($F164="Margem",$D164-$E164,$D164))*$G164)</f>
        <v/>
      </c>
    </row>
    <row r="165" ht="15" customHeight="1" s="79">
      <c r="A165" s="78">
        <f>IF('Importar Reservas'!A157="","",'Importar Reservas'!A157)</f>
        <v/>
      </c>
      <c r="B165" s="78">
        <f>IF($A165="","",'Importar Reservas'!B157)</f>
        <v/>
      </c>
      <c r="C165" s="78">
        <f>IF($A165="","",'Importar Reservas'!Z157)</f>
        <v/>
      </c>
      <c r="D165" s="78">
        <f>IF($A165="","",IF('Importar Reservas'!O157="",0,'Importar Reservas'!O157))</f>
        <v/>
      </c>
      <c r="E165" s="78">
        <f>IF($A165="","",IF('Importar Reservas'!N157="",0,'Importar Reservas'!N157))</f>
        <v/>
      </c>
      <c r="F165" s="78">
        <f>IF($A165="","",IFERROR(INDEX(Configurações!$C$5:$C$100,MATCH($C165,Configurações!$A$5:$A$100,0)),"Margem"))</f>
        <v/>
      </c>
      <c r="G165" s="78">
        <f>IF($A165="","",IFERROR(INDEX(Configurações!$B$5:$B$100,MATCH($C165,Configurações!$A$5:$A$100,0)),0))</f>
        <v/>
      </c>
      <c r="H165" s="78">
        <f>IF(OR($A165="",'Importar Reservas'!M157&lt;&gt;"Aprovado",$D165&lt;=0),"",MAX(0,IF($F165="Margem",$D165-$E165,$D165))*$G165)</f>
        <v/>
      </c>
    </row>
    <row r="166" ht="15" customHeight="1" s="79">
      <c r="A166" s="78">
        <f>IF('Importar Reservas'!A158="","",'Importar Reservas'!A158)</f>
        <v/>
      </c>
      <c r="B166" s="78">
        <f>IF($A166="","",'Importar Reservas'!B158)</f>
        <v/>
      </c>
      <c r="C166" s="78">
        <f>IF($A166="","",'Importar Reservas'!Z158)</f>
        <v/>
      </c>
      <c r="D166" s="78">
        <f>IF($A166="","",IF('Importar Reservas'!O158="",0,'Importar Reservas'!O158))</f>
        <v/>
      </c>
      <c r="E166" s="78">
        <f>IF($A166="","",IF('Importar Reservas'!N158="",0,'Importar Reservas'!N158))</f>
        <v/>
      </c>
      <c r="F166" s="78">
        <f>IF($A166="","",IFERROR(INDEX(Configurações!$C$5:$C$100,MATCH($C166,Configurações!$A$5:$A$100,0)),"Margem"))</f>
        <v/>
      </c>
      <c r="G166" s="78">
        <f>IF($A166="","",IFERROR(INDEX(Configurações!$B$5:$B$100,MATCH($C166,Configurações!$A$5:$A$100,0)),0))</f>
        <v/>
      </c>
      <c r="H166" s="78">
        <f>IF(OR($A166="",'Importar Reservas'!M158&lt;&gt;"Aprovado",$D166&lt;=0),"",MAX(0,IF($F166="Margem",$D166-$E166,$D166))*$G166)</f>
        <v/>
      </c>
    </row>
    <row r="167" ht="15" customHeight="1" s="79">
      <c r="A167" s="78">
        <f>IF('Importar Reservas'!A159="","",'Importar Reservas'!A159)</f>
        <v/>
      </c>
      <c r="B167" s="78">
        <f>IF($A167="","",'Importar Reservas'!B159)</f>
        <v/>
      </c>
      <c r="C167" s="78">
        <f>IF($A167="","",'Importar Reservas'!Z159)</f>
        <v/>
      </c>
      <c r="D167" s="78">
        <f>IF($A167="","",IF('Importar Reservas'!O159="",0,'Importar Reservas'!O159))</f>
        <v/>
      </c>
      <c r="E167" s="78">
        <f>IF($A167="","",IF('Importar Reservas'!N159="",0,'Importar Reservas'!N159))</f>
        <v/>
      </c>
      <c r="F167" s="78">
        <f>IF($A167="","",IFERROR(INDEX(Configurações!$C$5:$C$100,MATCH($C167,Configurações!$A$5:$A$100,0)),"Margem"))</f>
        <v/>
      </c>
      <c r="G167" s="78">
        <f>IF($A167="","",IFERROR(INDEX(Configurações!$B$5:$B$100,MATCH($C167,Configurações!$A$5:$A$100,0)),0))</f>
        <v/>
      </c>
      <c r="H167" s="78">
        <f>IF(OR($A167="",'Importar Reservas'!M159&lt;&gt;"Aprovado",$D167&lt;=0),"",MAX(0,IF($F167="Margem",$D167-$E167,$D167))*$G167)</f>
        <v/>
      </c>
    </row>
    <row r="168" ht="15" customHeight="1" s="79">
      <c r="A168" s="78">
        <f>IF('Importar Reservas'!A160="","",'Importar Reservas'!A160)</f>
        <v/>
      </c>
      <c r="B168" s="78">
        <f>IF($A168="","",'Importar Reservas'!B160)</f>
        <v/>
      </c>
      <c r="C168" s="78">
        <f>IF($A168="","",'Importar Reservas'!Z160)</f>
        <v/>
      </c>
      <c r="D168" s="78">
        <f>IF($A168="","",IF('Importar Reservas'!O160="",0,'Importar Reservas'!O160))</f>
        <v/>
      </c>
      <c r="E168" s="78">
        <f>IF($A168="","",IF('Importar Reservas'!N160="",0,'Importar Reservas'!N160))</f>
        <v/>
      </c>
      <c r="F168" s="78">
        <f>IF($A168="","",IFERROR(INDEX(Configurações!$C$5:$C$100,MATCH($C168,Configurações!$A$5:$A$100,0)),"Margem"))</f>
        <v/>
      </c>
      <c r="G168" s="78">
        <f>IF($A168="","",IFERROR(INDEX(Configurações!$B$5:$B$100,MATCH($C168,Configurações!$A$5:$A$100,0)),0))</f>
        <v/>
      </c>
      <c r="H168" s="78">
        <f>IF(OR($A168="",'Importar Reservas'!M160&lt;&gt;"Aprovado",$D168&lt;=0),"",MAX(0,IF($F168="Margem",$D168-$E168,$D168))*$G168)</f>
        <v/>
      </c>
    </row>
    <row r="169" ht="15" customHeight="1" s="79">
      <c r="A169" s="78">
        <f>IF('Importar Reservas'!A161="","",'Importar Reservas'!A161)</f>
        <v/>
      </c>
      <c r="B169" s="78">
        <f>IF($A169="","",'Importar Reservas'!B161)</f>
        <v/>
      </c>
      <c r="C169" s="78">
        <f>IF($A169="","",'Importar Reservas'!Z161)</f>
        <v/>
      </c>
      <c r="D169" s="78">
        <f>IF($A169="","",IF('Importar Reservas'!O161="",0,'Importar Reservas'!O161))</f>
        <v/>
      </c>
      <c r="E169" s="78">
        <f>IF($A169="","",IF('Importar Reservas'!N161="",0,'Importar Reservas'!N161))</f>
        <v/>
      </c>
      <c r="F169" s="78">
        <f>IF($A169="","",IFERROR(INDEX(Configurações!$C$5:$C$100,MATCH($C169,Configurações!$A$5:$A$100,0)),"Margem"))</f>
        <v/>
      </c>
      <c r="G169" s="78">
        <f>IF($A169="","",IFERROR(INDEX(Configurações!$B$5:$B$100,MATCH($C169,Configurações!$A$5:$A$100,0)),0))</f>
        <v/>
      </c>
      <c r="H169" s="78">
        <f>IF(OR($A169="",'Importar Reservas'!M161&lt;&gt;"Aprovado",$D169&lt;=0),"",MAX(0,IF($F169="Margem",$D169-$E169,$D169))*$G169)</f>
        <v/>
      </c>
    </row>
    <row r="170" ht="15" customHeight="1" s="79">
      <c r="A170" s="78">
        <f>IF('Importar Reservas'!A162="","",'Importar Reservas'!A162)</f>
        <v/>
      </c>
      <c r="B170" s="78">
        <f>IF($A170="","",'Importar Reservas'!B162)</f>
        <v/>
      </c>
      <c r="C170" s="78">
        <f>IF($A170="","",'Importar Reservas'!Z162)</f>
        <v/>
      </c>
      <c r="D170" s="78">
        <f>IF($A170="","",IF('Importar Reservas'!O162="",0,'Importar Reservas'!O162))</f>
        <v/>
      </c>
      <c r="E170" s="78">
        <f>IF($A170="","",IF('Importar Reservas'!N162="",0,'Importar Reservas'!N162))</f>
        <v/>
      </c>
      <c r="F170" s="78">
        <f>IF($A170="","",IFERROR(INDEX(Configurações!$C$5:$C$100,MATCH($C170,Configurações!$A$5:$A$100,0)),"Margem"))</f>
        <v/>
      </c>
      <c r="G170" s="78">
        <f>IF($A170="","",IFERROR(INDEX(Configurações!$B$5:$B$100,MATCH($C170,Configurações!$A$5:$A$100,0)),0))</f>
        <v/>
      </c>
      <c r="H170" s="78">
        <f>IF(OR($A170="",'Importar Reservas'!M162&lt;&gt;"Aprovado",$D170&lt;=0),"",MAX(0,IF($F170="Margem",$D170-$E170,$D170))*$G170)</f>
        <v/>
      </c>
    </row>
    <row r="171" ht="15" customHeight="1" s="79">
      <c r="A171" s="78">
        <f>IF('Importar Reservas'!A163="","",'Importar Reservas'!A163)</f>
        <v/>
      </c>
      <c r="B171" s="78">
        <f>IF($A171="","",'Importar Reservas'!B163)</f>
        <v/>
      </c>
      <c r="C171" s="78">
        <f>IF($A171="","",'Importar Reservas'!Z163)</f>
        <v/>
      </c>
      <c r="D171" s="78">
        <f>IF($A171="","",IF('Importar Reservas'!O163="",0,'Importar Reservas'!O163))</f>
        <v/>
      </c>
      <c r="E171" s="78">
        <f>IF($A171="","",IF('Importar Reservas'!N163="",0,'Importar Reservas'!N163))</f>
        <v/>
      </c>
      <c r="F171" s="78">
        <f>IF($A171="","",IFERROR(INDEX(Configurações!$C$5:$C$100,MATCH($C171,Configurações!$A$5:$A$100,0)),"Margem"))</f>
        <v/>
      </c>
      <c r="G171" s="78">
        <f>IF($A171="","",IFERROR(INDEX(Configurações!$B$5:$B$100,MATCH($C171,Configurações!$A$5:$A$100,0)),0))</f>
        <v/>
      </c>
      <c r="H171" s="78">
        <f>IF(OR($A171="",'Importar Reservas'!M163&lt;&gt;"Aprovado",$D171&lt;=0),"",MAX(0,IF($F171="Margem",$D171-$E171,$D171))*$G171)</f>
        <v/>
      </c>
    </row>
    <row r="172" ht="15" customHeight="1" s="79">
      <c r="A172" s="78">
        <f>IF('Importar Reservas'!A164="","",'Importar Reservas'!A164)</f>
        <v/>
      </c>
      <c r="B172" s="78">
        <f>IF($A172="","",'Importar Reservas'!B164)</f>
        <v/>
      </c>
      <c r="C172" s="78">
        <f>IF($A172="","",'Importar Reservas'!Z164)</f>
        <v/>
      </c>
      <c r="D172" s="78">
        <f>IF($A172="","",IF('Importar Reservas'!O164="",0,'Importar Reservas'!O164))</f>
        <v/>
      </c>
      <c r="E172" s="78">
        <f>IF($A172="","",IF('Importar Reservas'!N164="",0,'Importar Reservas'!N164))</f>
        <v/>
      </c>
      <c r="F172" s="78">
        <f>IF($A172="","",IFERROR(INDEX(Configurações!$C$5:$C$100,MATCH($C172,Configurações!$A$5:$A$100,0)),"Margem"))</f>
        <v/>
      </c>
      <c r="G172" s="78">
        <f>IF($A172="","",IFERROR(INDEX(Configurações!$B$5:$B$100,MATCH($C172,Configurações!$A$5:$A$100,0)),0))</f>
        <v/>
      </c>
      <c r="H172" s="78">
        <f>IF(OR($A172="",'Importar Reservas'!M164&lt;&gt;"Aprovado",$D172&lt;=0),"",MAX(0,IF($F172="Margem",$D172-$E172,$D172))*$G172)</f>
        <v/>
      </c>
    </row>
    <row r="173" ht="15" customHeight="1" s="79">
      <c r="A173" s="78">
        <f>IF('Importar Reservas'!A165="","",'Importar Reservas'!A165)</f>
        <v/>
      </c>
      <c r="B173" s="78">
        <f>IF($A173="","",'Importar Reservas'!B165)</f>
        <v/>
      </c>
      <c r="C173" s="78">
        <f>IF($A173="","",'Importar Reservas'!Z165)</f>
        <v/>
      </c>
      <c r="D173" s="78">
        <f>IF($A173="","",IF('Importar Reservas'!O165="",0,'Importar Reservas'!O165))</f>
        <v/>
      </c>
      <c r="E173" s="78">
        <f>IF($A173="","",IF('Importar Reservas'!N165="",0,'Importar Reservas'!N165))</f>
        <v/>
      </c>
      <c r="F173" s="78">
        <f>IF($A173="","",IFERROR(INDEX(Configurações!$C$5:$C$100,MATCH($C173,Configurações!$A$5:$A$100,0)),"Margem"))</f>
        <v/>
      </c>
      <c r="G173" s="78">
        <f>IF($A173="","",IFERROR(INDEX(Configurações!$B$5:$B$100,MATCH($C173,Configurações!$A$5:$A$100,0)),0))</f>
        <v/>
      </c>
      <c r="H173" s="78">
        <f>IF(OR($A173="",'Importar Reservas'!M165&lt;&gt;"Aprovado",$D173&lt;=0),"",MAX(0,IF($F173="Margem",$D173-$E173,$D173))*$G173)</f>
        <v/>
      </c>
    </row>
    <row r="174" ht="15" customHeight="1" s="79">
      <c r="A174" s="78">
        <f>IF('Importar Reservas'!A166="","",'Importar Reservas'!A166)</f>
        <v/>
      </c>
      <c r="B174" s="78">
        <f>IF($A174="","",'Importar Reservas'!B166)</f>
        <v/>
      </c>
      <c r="C174" s="78">
        <f>IF($A174="","",'Importar Reservas'!Z166)</f>
        <v/>
      </c>
      <c r="D174" s="78">
        <f>IF($A174="","",IF('Importar Reservas'!O166="",0,'Importar Reservas'!O166))</f>
        <v/>
      </c>
      <c r="E174" s="78">
        <f>IF($A174="","",IF('Importar Reservas'!N166="",0,'Importar Reservas'!N166))</f>
        <v/>
      </c>
      <c r="F174" s="78">
        <f>IF($A174="","",IFERROR(INDEX(Configurações!$C$5:$C$100,MATCH($C174,Configurações!$A$5:$A$100,0)),"Margem"))</f>
        <v/>
      </c>
      <c r="G174" s="78">
        <f>IF($A174="","",IFERROR(INDEX(Configurações!$B$5:$B$100,MATCH($C174,Configurações!$A$5:$A$100,0)),0))</f>
        <v/>
      </c>
      <c r="H174" s="78">
        <f>IF(OR($A174="",'Importar Reservas'!M166&lt;&gt;"Aprovado",$D174&lt;=0),"",MAX(0,IF($F174="Margem",$D174-$E174,$D174))*$G174)</f>
        <v/>
      </c>
    </row>
    <row r="175" ht="15" customHeight="1" s="79">
      <c r="A175" s="78">
        <f>IF('Importar Reservas'!A167="","",'Importar Reservas'!A167)</f>
        <v/>
      </c>
      <c r="B175" s="78">
        <f>IF($A175="","",'Importar Reservas'!B167)</f>
        <v/>
      </c>
      <c r="C175" s="78">
        <f>IF($A175="","",'Importar Reservas'!Z167)</f>
        <v/>
      </c>
      <c r="D175" s="78">
        <f>IF($A175="","",IF('Importar Reservas'!O167="",0,'Importar Reservas'!O167))</f>
        <v/>
      </c>
      <c r="E175" s="78">
        <f>IF($A175="","",IF('Importar Reservas'!N167="",0,'Importar Reservas'!N167))</f>
        <v/>
      </c>
      <c r="F175" s="78">
        <f>IF($A175="","",IFERROR(INDEX(Configurações!$C$5:$C$100,MATCH($C175,Configurações!$A$5:$A$100,0)),"Margem"))</f>
        <v/>
      </c>
      <c r="G175" s="78">
        <f>IF($A175="","",IFERROR(INDEX(Configurações!$B$5:$B$100,MATCH($C175,Configurações!$A$5:$A$100,0)),0))</f>
        <v/>
      </c>
      <c r="H175" s="78">
        <f>IF(OR($A175="",'Importar Reservas'!M167&lt;&gt;"Aprovado",$D175&lt;=0),"",MAX(0,IF($F175="Margem",$D175-$E175,$D175))*$G175)</f>
        <v/>
      </c>
    </row>
    <row r="176" ht="15" customHeight="1" s="79">
      <c r="A176" s="78">
        <f>IF('Importar Reservas'!A168="","",'Importar Reservas'!A168)</f>
        <v/>
      </c>
      <c r="B176" s="78">
        <f>IF($A176="","",'Importar Reservas'!B168)</f>
        <v/>
      </c>
      <c r="C176" s="78">
        <f>IF($A176="","",'Importar Reservas'!Z168)</f>
        <v/>
      </c>
      <c r="D176" s="78">
        <f>IF($A176="","",IF('Importar Reservas'!O168="",0,'Importar Reservas'!O168))</f>
        <v/>
      </c>
      <c r="E176" s="78">
        <f>IF($A176="","",IF('Importar Reservas'!N168="",0,'Importar Reservas'!N168))</f>
        <v/>
      </c>
      <c r="F176" s="78">
        <f>IF($A176="","",IFERROR(INDEX(Configurações!$C$5:$C$100,MATCH($C176,Configurações!$A$5:$A$100,0)),"Margem"))</f>
        <v/>
      </c>
      <c r="G176" s="78">
        <f>IF($A176="","",IFERROR(INDEX(Configurações!$B$5:$B$100,MATCH($C176,Configurações!$A$5:$A$100,0)),0))</f>
        <v/>
      </c>
      <c r="H176" s="78">
        <f>IF(OR($A176="",'Importar Reservas'!M168&lt;&gt;"Aprovado",$D176&lt;=0),"",MAX(0,IF($F176="Margem",$D176-$E176,$D176))*$G176)</f>
        <v/>
      </c>
    </row>
    <row r="177" ht="15" customHeight="1" s="79">
      <c r="A177" s="78">
        <f>IF('Importar Reservas'!A169="","",'Importar Reservas'!A169)</f>
        <v/>
      </c>
      <c r="B177" s="78">
        <f>IF($A177="","",'Importar Reservas'!B169)</f>
        <v/>
      </c>
      <c r="C177" s="78">
        <f>IF($A177="","",'Importar Reservas'!Z169)</f>
        <v/>
      </c>
      <c r="D177" s="78">
        <f>IF($A177="","",IF('Importar Reservas'!O169="",0,'Importar Reservas'!O169))</f>
        <v/>
      </c>
      <c r="E177" s="78">
        <f>IF($A177="","",IF('Importar Reservas'!N169="",0,'Importar Reservas'!N169))</f>
        <v/>
      </c>
      <c r="F177" s="78">
        <f>IF($A177="","",IFERROR(INDEX(Configurações!$C$5:$C$100,MATCH($C177,Configurações!$A$5:$A$100,0)),"Margem"))</f>
        <v/>
      </c>
      <c r="G177" s="78">
        <f>IF($A177="","",IFERROR(INDEX(Configurações!$B$5:$B$100,MATCH($C177,Configurações!$A$5:$A$100,0)),0))</f>
        <v/>
      </c>
      <c r="H177" s="78">
        <f>IF(OR($A177="",'Importar Reservas'!M169&lt;&gt;"Aprovado",$D177&lt;=0),"",MAX(0,IF($F177="Margem",$D177-$E177,$D177))*$G177)</f>
        <v/>
      </c>
    </row>
    <row r="178" ht="15" customHeight="1" s="79">
      <c r="A178" s="78">
        <f>IF('Importar Reservas'!A170="","",'Importar Reservas'!A170)</f>
        <v/>
      </c>
      <c r="B178" s="78">
        <f>IF($A178="","",'Importar Reservas'!B170)</f>
        <v/>
      </c>
      <c r="C178" s="78">
        <f>IF($A178="","",'Importar Reservas'!Z170)</f>
        <v/>
      </c>
      <c r="D178" s="78">
        <f>IF($A178="","",IF('Importar Reservas'!O170="",0,'Importar Reservas'!O170))</f>
        <v/>
      </c>
      <c r="E178" s="78">
        <f>IF($A178="","",IF('Importar Reservas'!N170="",0,'Importar Reservas'!N170))</f>
        <v/>
      </c>
      <c r="F178" s="78">
        <f>IF($A178="","",IFERROR(INDEX(Configurações!$C$5:$C$100,MATCH($C178,Configurações!$A$5:$A$100,0)),"Margem"))</f>
        <v/>
      </c>
      <c r="G178" s="78">
        <f>IF($A178="","",IFERROR(INDEX(Configurações!$B$5:$B$100,MATCH($C178,Configurações!$A$5:$A$100,0)),0))</f>
        <v/>
      </c>
      <c r="H178" s="78">
        <f>IF(OR($A178="",'Importar Reservas'!M170&lt;&gt;"Aprovado",$D178&lt;=0),"",MAX(0,IF($F178="Margem",$D178-$E178,$D178))*$G178)</f>
        <v/>
      </c>
    </row>
    <row r="179" ht="15" customHeight="1" s="79">
      <c r="A179" s="78">
        <f>IF('Importar Reservas'!A171="","",'Importar Reservas'!A171)</f>
        <v/>
      </c>
      <c r="B179" s="78">
        <f>IF($A179="","",'Importar Reservas'!B171)</f>
        <v/>
      </c>
      <c r="C179" s="78">
        <f>IF($A179="","",'Importar Reservas'!Z171)</f>
        <v/>
      </c>
      <c r="D179" s="78">
        <f>IF($A179="","",IF('Importar Reservas'!O171="",0,'Importar Reservas'!O171))</f>
        <v/>
      </c>
      <c r="E179" s="78">
        <f>IF($A179="","",IF('Importar Reservas'!N171="",0,'Importar Reservas'!N171))</f>
        <v/>
      </c>
      <c r="F179" s="78">
        <f>IF($A179="","",IFERROR(INDEX(Configurações!$C$5:$C$100,MATCH($C179,Configurações!$A$5:$A$100,0)),"Margem"))</f>
        <v/>
      </c>
      <c r="G179" s="78">
        <f>IF($A179="","",IFERROR(INDEX(Configurações!$B$5:$B$100,MATCH($C179,Configurações!$A$5:$A$100,0)),0))</f>
        <v/>
      </c>
      <c r="H179" s="78">
        <f>IF(OR($A179="",'Importar Reservas'!M171&lt;&gt;"Aprovado",$D179&lt;=0),"",MAX(0,IF($F179="Margem",$D179-$E179,$D179))*$G179)</f>
        <v/>
      </c>
    </row>
    <row r="180" ht="15" customHeight="1" s="79">
      <c r="A180" s="78">
        <f>IF('Importar Reservas'!A172="","",'Importar Reservas'!A172)</f>
        <v/>
      </c>
      <c r="B180" s="78">
        <f>IF($A180="","",'Importar Reservas'!B172)</f>
        <v/>
      </c>
      <c r="C180" s="78">
        <f>IF($A180="","",'Importar Reservas'!Z172)</f>
        <v/>
      </c>
      <c r="D180" s="78">
        <f>IF($A180="","",IF('Importar Reservas'!O172="",0,'Importar Reservas'!O172))</f>
        <v/>
      </c>
      <c r="E180" s="78">
        <f>IF($A180="","",IF('Importar Reservas'!N172="",0,'Importar Reservas'!N172))</f>
        <v/>
      </c>
      <c r="F180" s="78">
        <f>IF($A180="","",IFERROR(INDEX(Configurações!$C$5:$C$100,MATCH($C180,Configurações!$A$5:$A$100,0)),"Margem"))</f>
        <v/>
      </c>
      <c r="G180" s="78">
        <f>IF($A180="","",IFERROR(INDEX(Configurações!$B$5:$B$100,MATCH($C180,Configurações!$A$5:$A$100,0)),0))</f>
        <v/>
      </c>
      <c r="H180" s="78">
        <f>IF(OR($A180="",'Importar Reservas'!M172&lt;&gt;"Aprovado",$D180&lt;=0),"",MAX(0,IF($F180="Margem",$D180-$E180,$D180))*$G180)</f>
        <v/>
      </c>
    </row>
    <row r="181" ht="15" customHeight="1" s="79">
      <c r="A181" s="78">
        <f>IF('Importar Reservas'!A173="","",'Importar Reservas'!A173)</f>
        <v/>
      </c>
      <c r="B181" s="78">
        <f>IF($A181="","",'Importar Reservas'!B173)</f>
        <v/>
      </c>
      <c r="C181" s="78">
        <f>IF($A181="","",'Importar Reservas'!Z173)</f>
        <v/>
      </c>
      <c r="D181" s="78">
        <f>IF($A181="","",IF('Importar Reservas'!O173="",0,'Importar Reservas'!O173))</f>
        <v/>
      </c>
      <c r="E181" s="78">
        <f>IF($A181="","",IF('Importar Reservas'!N173="",0,'Importar Reservas'!N173))</f>
        <v/>
      </c>
      <c r="F181" s="78">
        <f>IF($A181="","",IFERROR(INDEX(Configurações!$C$5:$C$100,MATCH($C181,Configurações!$A$5:$A$100,0)),"Margem"))</f>
        <v/>
      </c>
      <c r="G181" s="78">
        <f>IF($A181="","",IFERROR(INDEX(Configurações!$B$5:$B$100,MATCH($C181,Configurações!$A$5:$A$100,0)),0))</f>
        <v/>
      </c>
      <c r="H181" s="78">
        <f>IF(OR($A181="",'Importar Reservas'!M173&lt;&gt;"Aprovado",$D181&lt;=0),"",MAX(0,IF($F181="Margem",$D181-$E181,$D181))*$G181)</f>
        <v/>
      </c>
    </row>
    <row r="182" ht="15" customHeight="1" s="79">
      <c r="A182" s="78">
        <f>IF('Importar Reservas'!A174="","",'Importar Reservas'!A174)</f>
        <v/>
      </c>
      <c r="B182" s="78">
        <f>IF($A182="","",'Importar Reservas'!B174)</f>
        <v/>
      </c>
      <c r="C182" s="78">
        <f>IF($A182="","",'Importar Reservas'!Z174)</f>
        <v/>
      </c>
      <c r="D182" s="78">
        <f>IF($A182="","",IF('Importar Reservas'!O174="",0,'Importar Reservas'!O174))</f>
        <v/>
      </c>
      <c r="E182" s="78">
        <f>IF($A182="","",IF('Importar Reservas'!N174="",0,'Importar Reservas'!N174))</f>
        <v/>
      </c>
      <c r="F182" s="78">
        <f>IF($A182="","",IFERROR(INDEX(Configurações!$C$5:$C$100,MATCH($C182,Configurações!$A$5:$A$100,0)),"Margem"))</f>
        <v/>
      </c>
      <c r="G182" s="78">
        <f>IF($A182="","",IFERROR(INDEX(Configurações!$B$5:$B$100,MATCH($C182,Configurações!$A$5:$A$100,0)),0))</f>
        <v/>
      </c>
      <c r="H182" s="78">
        <f>IF(OR($A182="",'Importar Reservas'!M174&lt;&gt;"Aprovado",$D182&lt;=0),"",MAX(0,IF($F182="Margem",$D182-$E182,$D182))*$G182)</f>
        <v/>
      </c>
    </row>
    <row r="183" ht="15" customHeight="1" s="79">
      <c r="A183" s="78">
        <f>IF('Importar Reservas'!A175="","",'Importar Reservas'!A175)</f>
        <v/>
      </c>
      <c r="B183" s="78">
        <f>IF($A183="","",'Importar Reservas'!B175)</f>
        <v/>
      </c>
      <c r="C183" s="78">
        <f>IF($A183="","",'Importar Reservas'!Z175)</f>
        <v/>
      </c>
      <c r="D183" s="78">
        <f>IF($A183="","",IF('Importar Reservas'!O175="",0,'Importar Reservas'!O175))</f>
        <v/>
      </c>
      <c r="E183" s="78">
        <f>IF($A183="","",IF('Importar Reservas'!N175="",0,'Importar Reservas'!N175))</f>
        <v/>
      </c>
      <c r="F183" s="78">
        <f>IF($A183="","",IFERROR(INDEX(Configurações!$C$5:$C$100,MATCH($C183,Configurações!$A$5:$A$100,0)),"Margem"))</f>
        <v/>
      </c>
      <c r="G183" s="78">
        <f>IF($A183="","",IFERROR(INDEX(Configurações!$B$5:$B$100,MATCH($C183,Configurações!$A$5:$A$100,0)),0))</f>
        <v/>
      </c>
      <c r="H183" s="78">
        <f>IF(OR($A183="",'Importar Reservas'!M175&lt;&gt;"Aprovado",$D183&lt;=0),"",MAX(0,IF($F183="Margem",$D183-$E183,$D183))*$G183)</f>
        <v/>
      </c>
    </row>
    <row r="184" ht="15" customHeight="1" s="79">
      <c r="A184" s="78">
        <f>IF('Importar Reservas'!A176="","",'Importar Reservas'!A176)</f>
        <v/>
      </c>
      <c r="B184" s="78">
        <f>IF($A184="","",'Importar Reservas'!B176)</f>
        <v/>
      </c>
      <c r="C184" s="78">
        <f>IF($A184="","",'Importar Reservas'!Z176)</f>
        <v/>
      </c>
      <c r="D184" s="78">
        <f>IF($A184="","",IF('Importar Reservas'!O176="",0,'Importar Reservas'!O176))</f>
        <v/>
      </c>
      <c r="E184" s="78">
        <f>IF($A184="","",IF('Importar Reservas'!N176="",0,'Importar Reservas'!N176))</f>
        <v/>
      </c>
      <c r="F184" s="78">
        <f>IF($A184="","",IFERROR(INDEX(Configurações!$C$5:$C$100,MATCH($C184,Configurações!$A$5:$A$100,0)),"Margem"))</f>
        <v/>
      </c>
      <c r="G184" s="78">
        <f>IF($A184="","",IFERROR(INDEX(Configurações!$B$5:$B$100,MATCH($C184,Configurações!$A$5:$A$100,0)),0))</f>
        <v/>
      </c>
      <c r="H184" s="78">
        <f>IF(OR($A184="",'Importar Reservas'!M176&lt;&gt;"Aprovado",$D184&lt;=0),"",MAX(0,IF($F184="Margem",$D184-$E184,$D184))*$G184)</f>
        <v/>
      </c>
    </row>
    <row r="185" ht="15" customHeight="1" s="79">
      <c r="A185" s="78">
        <f>IF('Importar Reservas'!A177="","",'Importar Reservas'!A177)</f>
        <v/>
      </c>
      <c r="B185" s="78">
        <f>IF($A185="","",'Importar Reservas'!B177)</f>
        <v/>
      </c>
      <c r="C185" s="78">
        <f>IF($A185="","",'Importar Reservas'!Z177)</f>
        <v/>
      </c>
      <c r="D185" s="78">
        <f>IF($A185="","",IF('Importar Reservas'!O177="",0,'Importar Reservas'!O177))</f>
        <v/>
      </c>
      <c r="E185" s="78">
        <f>IF($A185="","",IF('Importar Reservas'!N177="",0,'Importar Reservas'!N177))</f>
        <v/>
      </c>
      <c r="F185" s="78">
        <f>IF($A185="","",IFERROR(INDEX(Configurações!$C$5:$C$100,MATCH($C185,Configurações!$A$5:$A$100,0)),"Margem"))</f>
        <v/>
      </c>
      <c r="G185" s="78">
        <f>IF($A185="","",IFERROR(INDEX(Configurações!$B$5:$B$100,MATCH($C185,Configurações!$A$5:$A$100,0)),0))</f>
        <v/>
      </c>
      <c r="H185" s="78">
        <f>IF(OR($A185="",'Importar Reservas'!M177&lt;&gt;"Aprovado",$D185&lt;=0),"",MAX(0,IF($F185="Margem",$D185-$E185,$D185))*$G185)</f>
        <v/>
      </c>
    </row>
    <row r="186" ht="15" customHeight="1" s="79">
      <c r="A186" s="78">
        <f>IF('Importar Reservas'!A178="","",'Importar Reservas'!A178)</f>
        <v/>
      </c>
      <c r="B186" s="78">
        <f>IF($A186="","",'Importar Reservas'!B178)</f>
        <v/>
      </c>
      <c r="C186" s="78">
        <f>IF($A186="","",'Importar Reservas'!Z178)</f>
        <v/>
      </c>
      <c r="D186" s="78">
        <f>IF($A186="","",IF('Importar Reservas'!O178="",0,'Importar Reservas'!O178))</f>
        <v/>
      </c>
      <c r="E186" s="78">
        <f>IF($A186="","",IF('Importar Reservas'!N178="",0,'Importar Reservas'!N178))</f>
        <v/>
      </c>
      <c r="F186" s="78">
        <f>IF($A186="","",IFERROR(INDEX(Configurações!$C$5:$C$100,MATCH($C186,Configurações!$A$5:$A$100,0)),"Margem"))</f>
        <v/>
      </c>
      <c r="G186" s="78">
        <f>IF($A186="","",IFERROR(INDEX(Configurações!$B$5:$B$100,MATCH($C186,Configurações!$A$5:$A$100,0)),0))</f>
        <v/>
      </c>
      <c r="H186" s="78">
        <f>IF(OR($A186="",'Importar Reservas'!M178&lt;&gt;"Aprovado",$D186&lt;=0),"",MAX(0,IF($F186="Margem",$D186-$E186,$D186))*$G186)</f>
        <v/>
      </c>
    </row>
    <row r="187" ht="15" customHeight="1" s="79">
      <c r="A187" s="78">
        <f>IF('Importar Reservas'!A179="","",'Importar Reservas'!A179)</f>
        <v/>
      </c>
      <c r="B187" s="78">
        <f>IF($A187="","",'Importar Reservas'!B179)</f>
        <v/>
      </c>
      <c r="C187" s="78">
        <f>IF($A187="","",'Importar Reservas'!Z179)</f>
        <v/>
      </c>
      <c r="D187" s="78">
        <f>IF($A187="","",IF('Importar Reservas'!O179="",0,'Importar Reservas'!O179))</f>
        <v/>
      </c>
      <c r="E187" s="78">
        <f>IF($A187="","",IF('Importar Reservas'!N179="",0,'Importar Reservas'!N179))</f>
        <v/>
      </c>
      <c r="F187" s="78">
        <f>IF($A187="","",IFERROR(INDEX(Configurações!$C$5:$C$100,MATCH($C187,Configurações!$A$5:$A$100,0)),"Margem"))</f>
        <v/>
      </c>
      <c r="G187" s="78">
        <f>IF($A187="","",IFERROR(INDEX(Configurações!$B$5:$B$100,MATCH($C187,Configurações!$A$5:$A$100,0)),0))</f>
        <v/>
      </c>
      <c r="H187" s="78">
        <f>IF(OR($A187="",'Importar Reservas'!M179&lt;&gt;"Aprovado",$D187&lt;=0),"",MAX(0,IF($F187="Margem",$D187-$E187,$D187))*$G187)</f>
        <v/>
      </c>
    </row>
    <row r="188" ht="15" customHeight="1" s="79">
      <c r="A188" s="78">
        <f>IF('Importar Reservas'!A180="","",'Importar Reservas'!A180)</f>
        <v/>
      </c>
      <c r="B188" s="78">
        <f>IF($A188="","",'Importar Reservas'!B180)</f>
        <v/>
      </c>
      <c r="C188" s="78">
        <f>IF($A188="","",'Importar Reservas'!Z180)</f>
        <v/>
      </c>
      <c r="D188" s="78">
        <f>IF($A188="","",IF('Importar Reservas'!O180="",0,'Importar Reservas'!O180))</f>
        <v/>
      </c>
      <c r="E188" s="78">
        <f>IF($A188="","",IF('Importar Reservas'!N180="",0,'Importar Reservas'!N180))</f>
        <v/>
      </c>
      <c r="F188" s="78">
        <f>IF($A188="","",IFERROR(INDEX(Configurações!$C$5:$C$100,MATCH($C188,Configurações!$A$5:$A$100,0)),"Margem"))</f>
        <v/>
      </c>
      <c r="G188" s="78">
        <f>IF($A188="","",IFERROR(INDEX(Configurações!$B$5:$B$100,MATCH($C188,Configurações!$A$5:$A$100,0)),0))</f>
        <v/>
      </c>
      <c r="H188" s="78">
        <f>IF(OR($A188="",'Importar Reservas'!M180&lt;&gt;"Aprovado",$D188&lt;=0),"",MAX(0,IF($F188="Margem",$D188-$E188,$D188))*$G188)</f>
        <v/>
      </c>
    </row>
    <row r="189" ht="15" customHeight="1" s="79">
      <c r="A189" s="78">
        <f>IF('Importar Reservas'!A181="","",'Importar Reservas'!A181)</f>
        <v/>
      </c>
      <c r="B189" s="78">
        <f>IF($A189="","",'Importar Reservas'!B181)</f>
        <v/>
      </c>
      <c r="C189" s="78">
        <f>IF($A189="","",'Importar Reservas'!Z181)</f>
        <v/>
      </c>
      <c r="D189" s="78">
        <f>IF($A189="","",IF('Importar Reservas'!O181="",0,'Importar Reservas'!O181))</f>
        <v/>
      </c>
      <c r="E189" s="78">
        <f>IF($A189="","",IF('Importar Reservas'!N181="",0,'Importar Reservas'!N181))</f>
        <v/>
      </c>
      <c r="F189" s="78">
        <f>IF($A189="","",IFERROR(INDEX(Configurações!$C$5:$C$100,MATCH($C189,Configurações!$A$5:$A$100,0)),"Margem"))</f>
        <v/>
      </c>
      <c r="G189" s="78">
        <f>IF($A189="","",IFERROR(INDEX(Configurações!$B$5:$B$100,MATCH($C189,Configurações!$A$5:$A$100,0)),0))</f>
        <v/>
      </c>
      <c r="H189" s="78">
        <f>IF(OR($A189="",'Importar Reservas'!M181&lt;&gt;"Aprovado",$D189&lt;=0),"",MAX(0,IF($F189="Margem",$D189-$E189,$D189))*$G189)</f>
        <v/>
      </c>
    </row>
    <row r="190" ht="15" customHeight="1" s="79">
      <c r="A190" s="78">
        <f>IF('Importar Reservas'!A182="","",'Importar Reservas'!A182)</f>
        <v/>
      </c>
      <c r="B190" s="78">
        <f>IF($A190="","",'Importar Reservas'!B182)</f>
        <v/>
      </c>
      <c r="C190" s="78">
        <f>IF($A190="","",'Importar Reservas'!Z182)</f>
        <v/>
      </c>
      <c r="D190" s="78">
        <f>IF($A190="","",IF('Importar Reservas'!O182="",0,'Importar Reservas'!O182))</f>
        <v/>
      </c>
      <c r="E190" s="78">
        <f>IF($A190="","",IF('Importar Reservas'!N182="",0,'Importar Reservas'!N182))</f>
        <v/>
      </c>
      <c r="F190" s="78">
        <f>IF($A190="","",IFERROR(INDEX(Configurações!$C$5:$C$100,MATCH($C190,Configurações!$A$5:$A$100,0)),"Margem"))</f>
        <v/>
      </c>
      <c r="G190" s="78">
        <f>IF($A190="","",IFERROR(INDEX(Configurações!$B$5:$B$100,MATCH($C190,Configurações!$A$5:$A$100,0)),0))</f>
        <v/>
      </c>
      <c r="H190" s="78">
        <f>IF(OR($A190="",'Importar Reservas'!M182&lt;&gt;"Aprovado",$D190&lt;=0),"",MAX(0,IF($F190="Margem",$D190-$E190,$D190))*$G190)</f>
        <v/>
      </c>
    </row>
    <row r="191" ht="15" customHeight="1" s="79">
      <c r="A191" s="78">
        <f>IF('Importar Reservas'!A183="","",'Importar Reservas'!A183)</f>
        <v/>
      </c>
      <c r="B191" s="78">
        <f>IF($A191="","",'Importar Reservas'!B183)</f>
        <v/>
      </c>
      <c r="C191" s="78">
        <f>IF($A191="","",'Importar Reservas'!Z183)</f>
        <v/>
      </c>
      <c r="D191" s="78">
        <f>IF($A191="","",IF('Importar Reservas'!O183="",0,'Importar Reservas'!O183))</f>
        <v/>
      </c>
      <c r="E191" s="78">
        <f>IF($A191="","",IF('Importar Reservas'!N183="",0,'Importar Reservas'!N183))</f>
        <v/>
      </c>
      <c r="F191" s="78">
        <f>IF($A191="","",IFERROR(INDEX(Configurações!$C$5:$C$100,MATCH($C191,Configurações!$A$5:$A$100,0)),"Margem"))</f>
        <v/>
      </c>
      <c r="G191" s="78">
        <f>IF($A191="","",IFERROR(INDEX(Configurações!$B$5:$B$100,MATCH($C191,Configurações!$A$5:$A$100,0)),0))</f>
        <v/>
      </c>
      <c r="H191" s="78">
        <f>IF(OR($A191="",'Importar Reservas'!M183&lt;&gt;"Aprovado",$D191&lt;=0),"",MAX(0,IF($F191="Margem",$D191-$E191,$D191))*$G191)</f>
        <v/>
      </c>
    </row>
    <row r="192" ht="15" customHeight="1" s="79">
      <c r="A192" s="78">
        <f>IF('Importar Reservas'!A184="","",'Importar Reservas'!A184)</f>
        <v/>
      </c>
      <c r="B192" s="78">
        <f>IF($A192="","",'Importar Reservas'!B184)</f>
        <v/>
      </c>
      <c r="C192" s="78">
        <f>IF($A192="","",'Importar Reservas'!Z184)</f>
        <v/>
      </c>
      <c r="D192" s="78">
        <f>IF($A192="","",IF('Importar Reservas'!O184="",0,'Importar Reservas'!O184))</f>
        <v/>
      </c>
      <c r="E192" s="78">
        <f>IF($A192="","",IF('Importar Reservas'!N184="",0,'Importar Reservas'!N184))</f>
        <v/>
      </c>
      <c r="F192" s="78">
        <f>IF($A192="","",IFERROR(INDEX(Configurações!$C$5:$C$100,MATCH($C192,Configurações!$A$5:$A$100,0)),"Margem"))</f>
        <v/>
      </c>
      <c r="G192" s="78">
        <f>IF($A192="","",IFERROR(INDEX(Configurações!$B$5:$B$100,MATCH($C192,Configurações!$A$5:$A$100,0)),0))</f>
        <v/>
      </c>
      <c r="H192" s="78">
        <f>IF(OR($A192="",'Importar Reservas'!M184&lt;&gt;"Aprovado",$D192&lt;=0),"",MAX(0,IF($F192="Margem",$D192-$E192,$D192))*$G192)</f>
        <v/>
      </c>
    </row>
    <row r="193" ht="15" customHeight="1" s="79">
      <c r="A193" s="78">
        <f>IF('Importar Reservas'!A185="","",'Importar Reservas'!A185)</f>
        <v/>
      </c>
      <c r="B193" s="78">
        <f>IF($A193="","",'Importar Reservas'!B185)</f>
        <v/>
      </c>
      <c r="C193" s="78">
        <f>IF($A193="","",'Importar Reservas'!Z185)</f>
        <v/>
      </c>
      <c r="D193" s="78">
        <f>IF($A193="","",IF('Importar Reservas'!O185="",0,'Importar Reservas'!O185))</f>
        <v/>
      </c>
      <c r="E193" s="78">
        <f>IF($A193="","",IF('Importar Reservas'!N185="",0,'Importar Reservas'!N185))</f>
        <v/>
      </c>
      <c r="F193" s="78">
        <f>IF($A193="","",IFERROR(INDEX(Configurações!$C$5:$C$100,MATCH($C193,Configurações!$A$5:$A$100,0)),"Margem"))</f>
        <v/>
      </c>
      <c r="G193" s="78">
        <f>IF($A193="","",IFERROR(INDEX(Configurações!$B$5:$B$100,MATCH($C193,Configurações!$A$5:$A$100,0)),0))</f>
        <v/>
      </c>
      <c r="H193" s="78">
        <f>IF(OR($A193="",'Importar Reservas'!M185&lt;&gt;"Aprovado",$D193&lt;=0),"",MAX(0,IF($F193="Margem",$D193-$E193,$D193))*$G193)</f>
        <v/>
      </c>
    </row>
    <row r="194" ht="15" customHeight="1" s="79">
      <c r="A194" s="78">
        <f>IF('Importar Reservas'!A186="","",'Importar Reservas'!A186)</f>
        <v/>
      </c>
      <c r="B194" s="78">
        <f>IF($A194="","",'Importar Reservas'!B186)</f>
        <v/>
      </c>
      <c r="C194" s="78">
        <f>IF($A194="","",'Importar Reservas'!Z186)</f>
        <v/>
      </c>
      <c r="D194" s="78">
        <f>IF($A194="","",IF('Importar Reservas'!O186="",0,'Importar Reservas'!O186))</f>
        <v/>
      </c>
      <c r="E194" s="78">
        <f>IF($A194="","",IF('Importar Reservas'!N186="",0,'Importar Reservas'!N186))</f>
        <v/>
      </c>
      <c r="F194" s="78">
        <f>IF($A194="","",IFERROR(INDEX(Configurações!$C$5:$C$100,MATCH($C194,Configurações!$A$5:$A$100,0)),"Margem"))</f>
        <v/>
      </c>
      <c r="G194" s="78">
        <f>IF($A194="","",IFERROR(INDEX(Configurações!$B$5:$B$100,MATCH($C194,Configurações!$A$5:$A$100,0)),0))</f>
        <v/>
      </c>
      <c r="H194" s="78">
        <f>IF(OR($A194="",'Importar Reservas'!M186&lt;&gt;"Aprovado",$D194&lt;=0),"",MAX(0,IF($F194="Margem",$D194-$E194,$D194))*$G194)</f>
        <v/>
      </c>
    </row>
    <row r="195" ht="15" customHeight="1" s="79">
      <c r="A195" s="78">
        <f>IF('Importar Reservas'!A187="","",'Importar Reservas'!A187)</f>
        <v/>
      </c>
      <c r="B195" s="78">
        <f>IF($A195="","",'Importar Reservas'!B187)</f>
        <v/>
      </c>
      <c r="C195" s="78">
        <f>IF($A195="","",'Importar Reservas'!Z187)</f>
        <v/>
      </c>
      <c r="D195" s="78">
        <f>IF($A195="","",IF('Importar Reservas'!O187="",0,'Importar Reservas'!O187))</f>
        <v/>
      </c>
      <c r="E195" s="78">
        <f>IF($A195="","",IF('Importar Reservas'!N187="",0,'Importar Reservas'!N187))</f>
        <v/>
      </c>
      <c r="F195" s="78">
        <f>IF($A195="","",IFERROR(INDEX(Configurações!$C$5:$C$100,MATCH($C195,Configurações!$A$5:$A$100,0)),"Margem"))</f>
        <v/>
      </c>
      <c r="G195" s="78">
        <f>IF($A195="","",IFERROR(INDEX(Configurações!$B$5:$B$100,MATCH($C195,Configurações!$A$5:$A$100,0)),0))</f>
        <v/>
      </c>
      <c r="H195" s="78">
        <f>IF(OR($A195="",'Importar Reservas'!M187&lt;&gt;"Aprovado",$D195&lt;=0),"",MAX(0,IF($F195="Margem",$D195-$E195,$D195))*$G195)</f>
        <v/>
      </c>
    </row>
    <row r="196" ht="15" customHeight="1" s="79">
      <c r="A196" s="78">
        <f>IF('Importar Reservas'!A188="","",'Importar Reservas'!A188)</f>
        <v/>
      </c>
      <c r="B196" s="78">
        <f>IF($A196="","",'Importar Reservas'!B188)</f>
        <v/>
      </c>
      <c r="C196" s="78">
        <f>IF($A196="","",'Importar Reservas'!Z188)</f>
        <v/>
      </c>
      <c r="D196" s="78">
        <f>IF($A196="","",IF('Importar Reservas'!O188="",0,'Importar Reservas'!O188))</f>
        <v/>
      </c>
      <c r="E196" s="78">
        <f>IF($A196="","",IF('Importar Reservas'!N188="",0,'Importar Reservas'!N188))</f>
        <v/>
      </c>
      <c r="F196" s="78">
        <f>IF($A196="","",IFERROR(INDEX(Configurações!$C$5:$C$100,MATCH($C196,Configurações!$A$5:$A$100,0)),"Margem"))</f>
        <v/>
      </c>
      <c r="G196" s="78">
        <f>IF($A196="","",IFERROR(INDEX(Configurações!$B$5:$B$100,MATCH($C196,Configurações!$A$5:$A$100,0)),0))</f>
        <v/>
      </c>
      <c r="H196" s="78">
        <f>IF(OR($A196="",'Importar Reservas'!M188&lt;&gt;"Aprovado",$D196&lt;=0),"",MAX(0,IF($F196="Margem",$D196-$E196,$D196))*$G196)</f>
        <v/>
      </c>
    </row>
    <row r="197" ht="15" customHeight="1" s="79">
      <c r="A197" s="78">
        <f>IF('Importar Reservas'!A189="","",'Importar Reservas'!A189)</f>
        <v/>
      </c>
      <c r="B197" s="78">
        <f>IF($A197="","",'Importar Reservas'!B189)</f>
        <v/>
      </c>
      <c r="C197" s="78">
        <f>IF($A197="","",'Importar Reservas'!Z189)</f>
        <v/>
      </c>
      <c r="D197" s="78">
        <f>IF($A197="","",IF('Importar Reservas'!O189="",0,'Importar Reservas'!O189))</f>
        <v/>
      </c>
      <c r="E197" s="78">
        <f>IF($A197="","",IF('Importar Reservas'!N189="",0,'Importar Reservas'!N189))</f>
        <v/>
      </c>
      <c r="F197" s="78">
        <f>IF($A197="","",IFERROR(INDEX(Configurações!$C$5:$C$100,MATCH($C197,Configurações!$A$5:$A$100,0)),"Margem"))</f>
        <v/>
      </c>
      <c r="G197" s="78">
        <f>IF($A197="","",IFERROR(INDEX(Configurações!$B$5:$B$100,MATCH($C197,Configurações!$A$5:$A$100,0)),0))</f>
        <v/>
      </c>
      <c r="H197" s="78">
        <f>IF(OR($A197="",'Importar Reservas'!M189&lt;&gt;"Aprovado",$D197&lt;=0),"",MAX(0,IF($F197="Margem",$D197-$E197,$D197))*$G197)</f>
        <v/>
      </c>
    </row>
    <row r="198" ht="15" customHeight="1" s="79">
      <c r="A198" s="78">
        <f>IF('Importar Reservas'!A190="","",'Importar Reservas'!A190)</f>
        <v/>
      </c>
      <c r="B198" s="78">
        <f>IF($A198="","",'Importar Reservas'!B190)</f>
        <v/>
      </c>
      <c r="C198" s="78">
        <f>IF($A198="","",'Importar Reservas'!Z190)</f>
        <v/>
      </c>
      <c r="D198" s="78">
        <f>IF($A198="","",IF('Importar Reservas'!O190="",0,'Importar Reservas'!O190))</f>
        <v/>
      </c>
      <c r="E198" s="78">
        <f>IF($A198="","",IF('Importar Reservas'!N190="",0,'Importar Reservas'!N190))</f>
        <v/>
      </c>
      <c r="F198" s="78">
        <f>IF($A198="","",IFERROR(INDEX(Configurações!$C$5:$C$100,MATCH($C198,Configurações!$A$5:$A$100,0)),"Margem"))</f>
        <v/>
      </c>
      <c r="G198" s="78">
        <f>IF($A198="","",IFERROR(INDEX(Configurações!$B$5:$B$100,MATCH($C198,Configurações!$A$5:$A$100,0)),0))</f>
        <v/>
      </c>
      <c r="H198" s="78">
        <f>IF(OR($A198="",'Importar Reservas'!M190&lt;&gt;"Aprovado",$D198&lt;=0),"",MAX(0,IF($F198="Margem",$D198-$E198,$D198))*$G198)</f>
        <v/>
      </c>
    </row>
    <row r="199" ht="15" customHeight="1" s="79">
      <c r="A199" s="78">
        <f>IF('Importar Reservas'!A191="","",'Importar Reservas'!A191)</f>
        <v/>
      </c>
      <c r="B199" s="78">
        <f>IF($A199="","",'Importar Reservas'!B191)</f>
        <v/>
      </c>
      <c r="C199" s="78">
        <f>IF($A199="","",'Importar Reservas'!Z191)</f>
        <v/>
      </c>
      <c r="D199" s="78">
        <f>IF($A199="","",IF('Importar Reservas'!O191="",0,'Importar Reservas'!O191))</f>
        <v/>
      </c>
      <c r="E199" s="78">
        <f>IF($A199="","",IF('Importar Reservas'!N191="",0,'Importar Reservas'!N191))</f>
        <v/>
      </c>
      <c r="F199" s="78">
        <f>IF($A199="","",IFERROR(INDEX(Configurações!$C$5:$C$100,MATCH($C199,Configurações!$A$5:$A$100,0)),"Margem"))</f>
        <v/>
      </c>
      <c r="G199" s="78">
        <f>IF($A199="","",IFERROR(INDEX(Configurações!$B$5:$B$100,MATCH($C199,Configurações!$A$5:$A$100,0)),0))</f>
        <v/>
      </c>
      <c r="H199" s="78">
        <f>IF(OR($A199="",'Importar Reservas'!M191&lt;&gt;"Aprovado",$D199&lt;=0),"",MAX(0,IF($F199="Margem",$D199-$E199,$D199))*$G199)</f>
        <v/>
      </c>
    </row>
    <row r="200" ht="15" customHeight="1" s="79">
      <c r="A200" s="78">
        <f>IF('Importar Reservas'!A192="","",'Importar Reservas'!A192)</f>
        <v/>
      </c>
      <c r="B200" s="78">
        <f>IF($A200="","",'Importar Reservas'!B192)</f>
        <v/>
      </c>
      <c r="C200" s="78">
        <f>IF($A200="","",'Importar Reservas'!Z192)</f>
        <v/>
      </c>
      <c r="D200" s="78">
        <f>IF($A200="","",IF('Importar Reservas'!O192="",0,'Importar Reservas'!O192))</f>
        <v/>
      </c>
      <c r="E200" s="78">
        <f>IF($A200="","",IF('Importar Reservas'!N192="",0,'Importar Reservas'!N192))</f>
        <v/>
      </c>
      <c r="F200" s="78">
        <f>IF($A200="","",IFERROR(INDEX(Configurações!$C$5:$C$100,MATCH($C200,Configurações!$A$5:$A$100,0)),"Margem"))</f>
        <v/>
      </c>
      <c r="G200" s="78">
        <f>IF($A200="","",IFERROR(INDEX(Configurações!$B$5:$B$100,MATCH($C200,Configurações!$A$5:$A$100,0)),0))</f>
        <v/>
      </c>
      <c r="H200" s="78">
        <f>IF(OR($A200="",'Importar Reservas'!M192&lt;&gt;"Aprovado",$D200&lt;=0),"",MAX(0,IF($F200="Margem",$D200-$E200,$D200))*$G200)</f>
        <v/>
      </c>
    </row>
    <row r="201" ht="15" customHeight="1" s="79">
      <c r="A201" s="78">
        <f>IF('Importar Reservas'!A193="","",'Importar Reservas'!A193)</f>
        <v/>
      </c>
      <c r="B201" s="78">
        <f>IF($A201="","",'Importar Reservas'!B193)</f>
        <v/>
      </c>
      <c r="C201" s="78">
        <f>IF($A201="","",'Importar Reservas'!Z193)</f>
        <v/>
      </c>
      <c r="D201" s="78">
        <f>IF($A201="","",IF('Importar Reservas'!O193="",0,'Importar Reservas'!O193))</f>
        <v/>
      </c>
      <c r="E201" s="78">
        <f>IF($A201="","",IF('Importar Reservas'!N193="",0,'Importar Reservas'!N193))</f>
        <v/>
      </c>
      <c r="F201" s="78">
        <f>IF($A201="","",IFERROR(INDEX(Configurações!$C$5:$C$100,MATCH($C201,Configurações!$A$5:$A$100,0)),"Margem"))</f>
        <v/>
      </c>
      <c r="G201" s="78">
        <f>IF($A201="","",IFERROR(INDEX(Configurações!$B$5:$B$100,MATCH($C201,Configurações!$A$5:$A$100,0)),0))</f>
        <v/>
      </c>
      <c r="H201" s="78">
        <f>IF(OR($A201="",'Importar Reservas'!M193&lt;&gt;"Aprovado",$D201&lt;=0),"",MAX(0,IF($F201="Margem",$D201-$E201,$D201))*$G201)</f>
        <v/>
      </c>
    </row>
    <row r="202" ht="15" customHeight="1" s="79">
      <c r="A202" s="78">
        <f>IF('Importar Reservas'!A194="","",'Importar Reservas'!A194)</f>
        <v/>
      </c>
      <c r="B202" s="78">
        <f>IF($A202="","",'Importar Reservas'!B194)</f>
        <v/>
      </c>
      <c r="C202" s="78">
        <f>IF($A202="","",'Importar Reservas'!Z194)</f>
        <v/>
      </c>
      <c r="D202" s="78">
        <f>IF($A202="","",IF('Importar Reservas'!O194="",0,'Importar Reservas'!O194))</f>
        <v/>
      </c>
      <c r="E202" s="78">
        <f>IF($A202="","",IF('Importar Reservas'!N194="",0,'Importar Reservas'!N194))</f>
        <v/>
      </c>
      <c r="F202" s="78">
        <f>IF($A202="","",IFERROR(INDEX(Configurações!$C$5:$C$100,MATCH($C202,Configurações!$A$5:$A$100,0)),"Margem"))</f>
        <v/>
      </c>
      <c r="G202" s="78">
        <f>IF($A202="","",IFERROR(INDEX(Configurações!$B$5:$B$100,MATCH($C202,Configurações!$A$5:$A$100,0)),0))</f>
        <v/>
      </c>
      <c r="H202" s="78">
        <f>IF(OR($A202="",'Importar Reservas'!M194&lt;&gt;"Aprovado",$D202&lt;=0),"",MAX(0,IF($F202="Margem",$D202-$E202,$D202))*$G202)</f>
        <v/>
      </c>
    </row>
    <row r="203" ht="15" customHeight="1" s="79">
      <c r="A203" s="78">
        <f>IF('Importar Reservas'!A195="","",'Importar Reservas'!A195)</f>
        <v/>
      </c>
      <c r="B203" s="78">
        <f>IF($A203="","",'Importar Reservas'!B195)</f>
        <v/>
      </c>
      <c r="C203" s="78">
        <f>IF($A203="","",'Importar Reservas'!Z195)</f>
        <v/>
      </c>
      <c r="D203" s="78">
        <f>IF($A203="","",IF('Importar Reservas'!O195="",0,'Importar Reservas'!O195))</f>
        <v/>
      </c>
      <c r="E203" s="78">
        <f>IF($A203="","",IF('Importar Reservas'!N195="",0,'Importar Reservas'!N195))</f>
        <v/>
      </c>
      <c r="F203" s="78">
        <f>IF($A203="","",IFERROR(INDEX(Configurações!$C$5:$C$100,MATCH($C203,Configurações!$A$5:$A$100,0)),"Margem"))</f>
        <v/>
      </c>
      <c r="G203" s="78">
        <f>IF($A203="","",IFERROR(INDEX(Configurações!$B$5:$B$100,MATCH($C203,Configurações!$A$5:$A$100,0)),0))</f>
        <v/>
      </c>
      <c r="H203" s="78">
        <f>IF(OR($A203="",'Importar Reservas'!M195&lt;&gt;"Aprovado",$D203&lt;=0),"",MAX(0,IF($F203="Margem",$D203-$E203,$D203))*$G203)</f>
        <v/>
      </c>
    </row>
    <row r="204" ht="15" customHeight="1" s="79">
      <c r="A204" s="78">
        <f>IF('Importar Reservas'!A196="","",'Importar Reservas'!A196)</f>
        <v/>
      </c>
      <c r="B204" s="78">
        <f>IF($A204="","",'Importar Reservas'!B196)</f>
        <v/>
      </c>
      <c r="C204" s="78">
        <f>IF($A204="","",'Importar Reservas'!Z196)</f>
        <v/>
      </c>
      <c r="D204" s="78">
        <f>IF($A204="","",IF('Importar Reservas'!O196="",0,'Importar Reservas'!O196))</f>
        <v/>
      </c>
      <c r="E204" s="78">
        <f>IF($A204="","",IF('Importar Reservas'!N196="",0,'Importar Reservas'!N196))</f>
        <v/>
      </c>
      <c r="F204" s="78">
        <f>IF($A204="","",IFERROR(INDEX(Configurações!$C$5:$C$100,MATCH($C204,Configurações!$A$5:$A$100,0)),"Margem"))</f>
        <v/>
      </c>
      <c r="G204" s="78">
        <f>IF($A204="","",IFERROR(INDEX(Configurações!$B$5:$B$100,MATCH($C204,Configurações!$A$5:$A$100,0)),0))</f>
        <v/>
      </c>
      <c r="H204" s="78">
        <f>IF(OR($A204="",'Importar Reservas'!M196&lt;&gt;"Aprovado",$D204&lt;=0),"",MAX(0,IF($F204="Margem",$D204-$E204,$D204))*$G204)</f>
        <v/>
      </c>
    </row>
    <row r="205" ht="15" customHeight="1" s="79">
      <c r="A205" s="78">
        <f>IF('Importar Reservas'!A197="","",'Importar Reservas'!A197)</f>
        <v/>
      </c>
      <c r="B205" s="78">
        <f>IF($A205="","",'Importar Reservas'!B197)</f>
        <v/>
      </c>
      <c r="C205" s="78">
        <f>IF($A205="","",'Importar Reservas'!Z197)</f>
        <v/>
      </c>
      <c r="D205" s="78">
        <f>IF($A205="","",IF('Importar Reservas'!O197="",0,'Importar Reservas'!O197))</f>
        <v/>
      </c>
      <c r="E205" s="78">
        <f>IF($A205="","",IF('Importar Reservas'!N197="",0,'Importar Reservas'!N197))</f>
        <v/>
      </c>
      <c r="F205" s="78">
        <f>IF($A205="","",IFERROR(INDEX(Configurações!$C$5:$C$100,MATCH($C205,Configurações!$A$5:$A$100,0)),"Margem"))</f>
        <v/>
      </c>
      <c r="G205" s="78">
        <f>IF($A205="","",IFERROR(INDEX(Configurações!$B$5:$B$100,MATCH($C205,Configurações!$A$5:$A$100,0)),0))</f>
        <v/>
      </c>
      <c r="H205" s="78">
        <f>IF(OR($A205="",'Importar Reservas'!M197&lt;&gt;"Aprovado",$D205&lt;=0),"",MAX(0,IF($F205="Margem",$D205-$E205,$D205))*$G205)</f>
        <v/>
      </c>
    </row>
    <row r="206" ht="15" customHeight="1" s="79">
      <c r="A206" s="78">
        <f>IF('Importar Reservas'!A198="","",'Importar Reservas'!A198)</f>
        <v/>
      </c>
      <c r="B206" s="78">
        <f>IF($A206="","",'Importar Reservas'!B198)</f>
        <v/>
      </c>
      <c r="C206" s="78">
        <f>IF($A206="","",'Importar Reservas'!Z198)</f>
        <v/>
      </c>
      <c r="D206" s="78">
        <f>IF($A206="","",IF('Importar Reservas'!O198="",0,'Importar Reservas'!O198))</f>
        <v/>
      </c>
      <c r="E206" s="78">
        <f>IF($A206="","",IF('Importar Reservas'!N198="",0,'Importar Reservas'!N198))</f>
        <v/>
      </c>
      <c r="F206" s="78">
        <f>IF($A206="","",IFERROR(INDEX(Configurações!$C$5:$C$100,MATCH($C206,Configurações!$A$5:$A$100,0)),"Margem"))</f>
        <v/>
      </c>
      <c r="G206" s="78">
        <f>IF($A206="","",IFERROR(INDEX(Configurações!$B$5:$B$100,MATCH($C206,Configurações!$A$5:$A$100,0)),0))</f>
        <v/>
      </c>
      <c r="H206" s="78">
        <f>IF(OR($A206="",'Importar Reservas'!M198&lt;&gt;"Aprovado",$D206&lt;=0),"",MAX(0,IF($F206="Margem",$D206-$E206,$D206))*$G206)</f>
        <v/>
      </c>
    </row>
    <row r="207" ht="15" customHeight="1" s="79">
      <c r="A207" s="78">
        <f>IF('Importar Reservas'!A199="","",'Importar Reservas'!A199)</f>
        <v/>
      </c>
      <c r="B207" s="78">
        <f>IF($A207="","",'Importar Reservas'!B199)</f>
        <v/>
      </c>
      <c r="C207" s="78">
        <f>IF($A207="","",'Importar Reservas'!Z199)</f>
        <v/>
      </c>
      <c r="D207" s="78">
        <f>IF($A207="","",IF('Importar Reservas'!O199="",0,'Importar Reservas'!O199))</f>
        <v/>
      </c>
      <c r="E207" s="78">
        <f>IF($A207="","",IF('Importar Reservas'!N199="",0,'Importar Reservas'!N199))</f>
        <v/>
      </c>
      <c r="F207" s="78">
        <f>IF($A207="","",IFERROR(INDEX(Configurações!$C$5:$C$100,MATCH($C207,Configurações!$A$5:$A$100,0)),"Margem"))</f>
        <v/>
      </c>
      <c r="G207" s="78">
        <f>IF($A207="","",IFERROR(INDEX(Configurações!$B$5:$B$100,MATCH($C207,Configurações!$A$5:$A$100,0)),0))</f>
        <v/>
      </c>
      <c r="H207" s="78">
        <f>IF(OR($A207="",'Importar Reservas'!M199&lt;&gt;"Aprovado",$D207&lt;=0),"",MAX(0,IF($F207="Margem",$D207-$E207,$D207))*$G207)</f>
        <v/>
      </c>
    </row>
    <row r="208" ht="15" customHeight="1" s="79">
      <c r="A208" s="78">
        <f>IF('Importar Reservas'!A200="","",'Importar Reservas'!A200)</f>
        <v/>
      </c>
      <c r="B208" s="78">
        <f>IF($A208="","",'Importar Reservas'!B200)</f>
        <v/>
      </c>
      <c r="C208" s="78">
        <f>IF($A208="","",'Importar Reservas'!Z200)</f>
        <v/>
      </c>
      <c r="D208" s="78">
        <f>IF($A208="","",IF('Importar Reservas'!O200="",0,'Importar Reservas'!O200))</f>
        <v/>
      </c>
      <c r="E208" s="78">
        <f>IF($A208="","",IF('Importar Reservas'!N200="",0,'Importar Reservas'!N200))</f>
        <v/>
      </c>
      <c r="F208" s="78">
        <f>IF($A208="","",IFERROR(INDEX(Configurações!$C$5:$C$100,MATCH($C208,Configurações!$A$5:$A$100,0)),"Margem"))</f>
        <v/>
      </c>
      <c r="G208" s="78">
        <f>IF($A208="","",IFERROR(INDEX(Configurações!$B$5:$B$100,MATCH($C208,Configurações!$A$5:$A$100,0)),0))</f>
        <v/>
      </c>
      <c r="H208" s="78">
        <f>IF(OR($A208="",'Importar Reservas'!M200&lt;&gt;"Aprovado",$D208&lt;=0),"",MAX(0,IF($F208="Margem",$D208-$E208,$D208))*$G208)</f>
        <v/>
      </c>
    </row>
    <row r="209" ht="15" customHeight="1" s="79">
      <c r="A209" s="78">
        <f>IF('Importar Reservas'!A201="","",'Importar Reservas'!A201)</f>
        <v/>
      </c>
      <c r="B209" s="78">
        <f>IF($A209="","",'Importar Reservas'!B201)</f>
        <v/>
      </c>
      <c r="C209" s="78">
        <f>IF($A209="","",'Importar Reservas'!Z201)</f>
        <v/>
      </c>
      <c r="D209" s="78">
        <f>IF($A209="","",IF('Importar Reservas'!O201="",0,'Importar Reservas'!O201))</f>
        <v/>
      </c>
      <c r="E209" s="78">
        <f>IF($A209="","",IF('Importar Reservas'!N201="",0,'Importar Reservas'!N201))</f>
        <v/>
      </c>
      <c r="F209" s="78">
        <f>IF($A209="","",IFERROR(INDEX(Configurações!$C$5:$C$100,MATCH($C209,Configurações!$A$5:$A$100,0)),"Margem"))</f>
        <v/>
      </c>
      <c r="G209" s="78">
        <f>IF($A209="","",IFERROR(INDEX(Configurações!$B$5:$B$100,MATCH($C209,Configurações!$A$5:$A$100,0)),0))</f>
        <v/>
      </c>
      <c r="H209" s="78">
        <f>IF(OR($A209="",'Importar Reservas'!M201&lt;&gt;"Aprovado",$D209&lt;=0),"",MAX(0,IF($F209="Margem",$D209-$E209,$D209))*$G209)</f>
        <v/>
      </c>
    </row>
    <row r="210" ht="15" customHeight="1" s="79">
      <c r="A210" s="78">
        <f>IF('Importar Reservas'!A202="","",'Importar Reservas'!A202)</f>
        <v/>
      </c>
      <c r="B210" s="78">
        <f>IF($A210="","",'Importar Reservas'!B202)</f>
        <v/>
      </c>
      <c r="C210" s="78">
        <f>IF($A210="","",'Importar Reservas'!Z202)</f>
        <v/>
      </c>
      <c r="D210" s="78">
        <f>IF($A210="","",IF('Importar Reservas'!O202="",0,'Importar Reservas'!O202))</f>
        <v/>
      </c>
      <c r="E210" s="78">
        <f>IF($A210="","",IF('Importar Reservas'!N202="",0,'Importar Reservas'!N202))</f>
        <v/>
      </c>
      <c r="F210" s="78">
        <f>IF($A210="","",IFERROR(INDEX(Configurações!$C$5:$C$100,MATCH($C210,Configurações!$A$5:$A$100,0)),"Margem"))</f>
        <v/>
      </c>
      <c r="G210" s="78">
        <f>IF($A210="","",IFERROR(INDEX(Configurações!$B$5:$B$100,MATCH($C210,Configurações!$A$5:$A$100,0)),0))</f>
        <v/>
      </c>
      <c r="H210" s="78">
        <f>IF(OR($A210="",'Importar Reservas'!M202&lt;&gt;"Aprovado",$D210&lt;=0),"",MAX(0,IF($F210="Margem",$D210-$E210,$D210))*$G210)</f>
        <v/>
      </c>
    </row>
    <row r="211" ht="15" customHeight="1" s="79">
      <c r="A211" s="78">
        <f>IF('Importar Reservas'!A203="","",'Importar Reservas'!A203)</f>
        <v/>
      </c>
      <c r="B211" s="78">
        <f>IF($A211="","",'Importar Reservas'!B203)</f>
        <v/>
      </c>
      <c r="C211" s="78">
        <f>IF($A211="","",'Importar Reservas'!Z203)</f>
        <v/>
      </c>
      <c r="D211" s="78">
        <f>IF($A211="","",IF('Importar Reservas'!O203="",0,'Importar Reservas'!O203))</f>
        <v/>
      </c>
      <c r="E211" s="78">
        <f>IF($A211="","",IF('Importar Reservas'!N203="",0,'Importar Reservas'!N203))</f>
        <v/>
      </c>
      <c r="F211" s="78">
        <f>IF($A211="","",IFERROR(INDEX(Configurações!$C$5:$C$100,MATCH($C211,Configurações!$A$5:$A$100,0)),"Margem"))</f>
        <v/>
      </c>
      <c r="G211" s="78">
        <f>IF($A211="","",IFERROR(INDEX(Configurações!$B$5:$B$100,MATCH($C211,Configurações!$A$5:$A$100,0)),0))</f>
        <v/>
      </c>
      <c r="H211" s="78">
        <f>IF(OR($A211="",'Importar Reservas'!M203&lt;&gt;"Aprovado",$D211&lt;=0),"",MAX(0,IF($F211="Margem",$D211-$E211,$D211))*$G211)</f>
        <v/>
      </c>
    </row>
    <row r="212" ht="15" customHeight="1" s="79">
      <c r="A212" s="78">
        <f>IF('Importar Reservas'!A204="","",'Importar Reservas'!A204)</f>
        <v/>
      </c>
      <c r="B212" s="78">
        <f>IF($A212="","",'Importar Reservas'!B204)</f>
        <v/>
      </c>
      <c r="C212" s="78">
        <f>IF($A212="","",'Importar Reservas'!Z204)</f>
        <v/>
      </c>
      <c r="D212" s="78">
        <f>IF($A212="","",IF('Importar Reservas'!O204="",0,'Importar Reservas'!O204))</f>
        <v/>
      </c>
      <c r="E212" s="78">
        <f>IF($A212="","",IF('Importar Reservas'!N204="",0,'Importar Reservas'!N204))</f>
        <v/>
      </c>
      <c r="F212" s="78">
        <f>IF($A212="","",IFERROR(INDEX(Configurações!$C$5:$C$100,MATCH($C212,Configurações!$A$5:$A$100,0)),"Margem"))</f>
        <v/>
      </c>
      <c r="G212" s="78">
        <f>IF($A212="","",IFERROR(INDEX(Configurações!$B$5:$B$100,MATCH($C212,Configurações!$A$5:$A$100,0)),0))</f>
        <v/>
      </c>
      <c r="H212" s="78">
        <f>IF(OR($A212="",'Importar Reservas'!M204&lt;&gt;"Aprovado",$D212&lt;=0),"",MAX(0,IF($F212="Margem",$D212-$E212,$D212))*$G212)</f>
        <v/>
      </c>
    </row>
    <row r="213" ht="15" customHeight="1" s="79">
      <c r="A213" s="78">
        <f>IF('Importar Reservas'!A205="","",'Importar Reservas'!A205)</f>
        <v/>
      </c>
      <c r="B213" s="78">
        <f>IF($A213="","",'Importar Reservas'!B205)</f>
        <v/>
      </c>
      <c r="C213" s="78">
        <f>IF($A213="","",'Importar Reservas'!Z205)</f>
        <v/>
      </c>
      <c r="D213" s="78">
        <f>IF($A213="","",IF('Importar Reservas'!O205="",0,'Importar Reservas'!O205))</f>
        <v/>
      </c>
      <c r="E213" s="78">
        <f>IF($A213="","",IF('Importar Reservas'!N205="",0,'Importar Reservas'!N205))</f>
        <v/>
      </c>
      <c r="F213" s="78">
        <f>IF($A213="","",IFERROR(INDEX(Configurações!$C$5:$C$100,MATCH($C213,Configurações!$A$5:$A$100,0)),"Margem"))</f>
        <v/>
      </c>
      <c r="G213" s="78">
        <f>IF($A213="","",IFERROR(INDEX(Configurações!$B$5:$B$100,MATCH($C213,Configurações!$A$5:$A$100,0)),0))</f>
        <v/>
      </c>
      <c r="H213" s="78">
        <f>IF(OR($A213="",'Importar Reservas'!M205&lt;&gt;"Aprovado",$D213&lt;=0),"",MAX(0,IF($F213="Margem",$D213-$E213,$D213))*$G213)</f>
        <v/>
      </c>
    </row>
    <row r="214" ht="15" customHeight="1" s="79">
      <c r="A214" s="78">
        <f>IF('Importar Reservas'!A206="","",'Importar Reservas'!A206)</f>
        <v/>
      </c>
      <c r="B214" s="78">
        <f>IF($A214="","",'Importar Reservas'!B206)</f>
        <v/>
      </c>
      <c r="C214" s="78">
        <f>IF($A214="","",'Importar Reservas'!Z206)</f>
        <v/>
      </c>
      <c r="D214" s="78">
        <f>IF($A214="","",IF('Importar Reservas'!O206="",0,'Importar Reservas'!O206))</f>
        <v/>
      </c>
      <c r="E214" s="78">
        <f>IF($A214="","",IF('Importar Reservas'!N206="",0,'Importar Reservas'!N206))</f>
        <v/>
      </c>
      <c r="F214" s="78">
        <f>IF($A214="","",IFERROR(INDEX(Configurações!$C$5:$C$100,MATCH($C214,Configurações!$A$5:$A$100,0)),"Margem"))</f>
        <v/>
      </c>
      <c r="G214" s="78">
        <f>IF($A214="","",IFERROR(INDEX(Configurações!$B$5:$B$100,MATCH($C214,Configurações!$A$5:$A$100,0)),0))</f>
        <v/>
      </c>
      <c r="H214" s="78">
        <f>IF(OR($A214="",'Importar Reservas'!M206&lt;&gt;"Aprovado",$D214&lt;=0),"",MAX(0,IF($F214="Margem",$D214-$E214,$D214))*$G214)</f>
        <v/>
      </c>
    </row>
    <row r="215" ht="15" customHeight="1" s="79">
      <c r="A215" s="78">
        <f>IF('Importar Reservas'!A207="","",'Importar Reservas'!A207)</f>
        <v/>
      </c>
      <c r="B215" s="78">
        <f>IF($A215="","",'Importar Reservas'!B207)</f>
        <v/>
      </c>
      <c r="C215" s="78">
        <f>IF($A215="","",'Importar Reservas'!Z207)</f>
        <v/>
      </c>
      <c r="D215" s="78">
        <f>IF($A215="","",IF('Importar Reservas'!O207="",0,'Importar Reservas'!O207))</f>
        <v/>
      </c>
      <c r="E215" s="78">
        <f>IF($A215="","",IF('Importar Reservas'!N207="",0,'Importar Reservas'!N207))</f>
        <v/>
      </c>
      <c r="F215" s="78">
        <f>IF($A215="","",IFERROR(INDEX(Configurações!$C$5:$C$100,MATCH($C215,Configurações!$A$5:$A$100,0)),"Margem"))</f>
        <v/>
      </c>
      <c r="G215" s="78">
        <f>IF($A215="","",IFERROR(INDEX(Configurações!$B$5:$B$100,MATCH($C215,Configurações!$A$5:$A$100,0)),0))</f>
        <v/>
      </c>
      <c r="H215" s="78">
        <f>IF(OR($A215="",'Importar Reservas'!M207&lt;&gt;"Aprovado",$D215&lt;=0),"",MAX(0,IF($F215="Margem",$D215-$E215,$D215))*$G215)</f>
        <v/>
      </c>
    </row>
    <row r="216" ht="15" customHeight="1" s="79">
      <c r="A216" s="78">
        <f>IF('Importar Reservas'!A208="","",'Importar Reservas'!A208)</f>
        <v/>
      </c>
      <c r="B216" s="78">
        <f>IF($A216="","",'Importar Reservas'!B208)</f>
        <v/>
      </c>
      <c r="C216" s="78">
        <f>IF($A216="","",'Importar Reservas'!Z208)</f>
        <v/>
      </c>
      <c r="D216" s="78">
        <f>IF($A216="","",IF('Importar Reservas'!O208="",0,'Importar Reservas'!O208))</f>
        <v/>
      </c>
      <c r="E216" s="78">
        <f>IF($A216="","",IF('Importar Reservas'!N208="",0,'Importar Reservas'!N208))</f>
        <v/>
      </c>
      <c r="F216" s="78">
        <f>IF($A216="","",IFERROR(INDEX(Configurações!$C$5:$C$100,MATCH($C216,Configurações!$A$5:$A$100,0)),"Margem"))</f>
        <v/>
      </c>
      <c r="G216" s="78">
        <f>IF($A216="","",IFERROR(INDEX(Configurações!$B$5:$B$100,MATCH($C216,Configurações!$A$5:$A$100,0)),0))</f>
        <v/>
      </c>
      <c r="H216" s="78">
        <f>IF(OR($A216="",'Importar Reservas'!M208&lt;&gt;"Aprovado",$D216&lt;=0),"",MAX(0,IF($F216="Margem",$D216-$E216,$D216))*$G216)</f>
        <v/>
      </c>
    </row>
    <row r="217" ht="15" customHeight="1" s="79">
      <c r="A217" s="78">
        <f>IF('Importar Reservas'!A209="","",'Importar Reservas'!A209)</f>
        <v/>
      </c>
      <c r="B217" s="78">
        <f>IF($A217="","",'Importar Reservas'!B209)</f>
        <v/>
      </c>
      <c r="C217" s="78">
        <f>IF($A217="","",'Importar Reservas'!Z209)</f>
        <v/>
      </c>
      <c r="D217" s="78">
        <f>IF($A217="","",IF('Importar Reservas'!O209="",0,'Importar Reservas'!O209))</f>
        <v/>
      </c>
      <c r="E217" s="78">
        <f>IF($A217="","",IF('Importar Reservas'!N209="",0,'Importar Reservas'!N209))</f>
        <v/>
      </c>
      <c r="F217" s="78">
        <f>IF($A217="","",IFERROR(INDEX(Configurações!$C$5:$C$100,MATCH($C217,Configurações!$A$5:$A$100,0)),"Margem"))</f>
        <v/>
      </c>
      <c r="G217" s="78">
        <f>IF($A217="","",IFERROR(INDEX(Configurações!$B$5:$B$100,MATCH($C217,Configurações!$A$5:$A$100,0)),0))</f>
        <v/>
      </c>
      <c r="H217" s="78">
        <f>IF(OR($A217="",'Importar Reservas'!M209&lt;&gt;"Aprovado",$D217&lt;=0),"",MAX(0,IF($F217="Margem",$D217-$E217,$D217))*$G217)</f>
        <v/>
      </c>
    </row>
    <row r="218" ht="15" customHeight="1" s="79">
      <c r="A218" s="78">
        <f>IF('Importar Reservas'!A210="","",'Importar Reservas'!A210)</f>
        <v/>
      </c>
      <c r="B218" s="78">
        <f>IF($A218="","",'Importar Reservas'!B210)</f>
        <v/>
      </c>
      <c r="C218" s="78">
        <f>IF($A218="","",'Importar Reservas'!Z210)</f>
        <v/>
      </c>
      <c r="D218" s="78">
        <f>IF($A218="","",IF('Importar Reservas'!O210="",0,'Importar Reservas'!O210))</f>
        <v/>
      </c>
      <c r="E218" s="78">
        <f>IF($A218="","",IF('Importar Reservas'!N210="",0,'Importar Reservas'!N210))</f>
        <v/>
      </c>
      <c r="F218" s="78">
        <f>IF($A218="","",IFERROR(INDEX(Configurações!$C$5:$C$100,MATCH($C218,Configurações!$A$5:$A$100,0)),"Margem"))</f>
        <v/>
      </c>
      <c r="G218" s="78">
        <f>IF($A218="","",IFERROR(INDEX(Configurações!$B$5:$B$100,MATCH($C218,Configurações!$A$5:$A$100,0)),0))</f>
        <v/>
      </c>
      <c r="H218" s="78">
        <f>IF(OR($A218="",'Importar Reservas'!M210&lt;&gt;"Aprovado",$D218&lt;=0),"",MAX(0,IF($F218="Margem",$D218-$E218,$D218))*$G218)</f>
        <v/>
      </c>
    </row>
    <row r="219" ht="15" customHeight="1" s="79">
      <c r="A219" s="78">
        <f>IF('Importar Reservas'!A211="","",'Importar Reservas'!A211)</f>
        <v/>
      </c>
      <c r="B219" s="78">
        <f>IF($A219="","",'Importar Reservas'!B211)</f>
        <v/>
      </c>
      <c r="C219" s="78">
        <f>IF($A219="","",'Importar Reservas'!Z211)</f>
        <v/>
      </c>
      <c r="D219" s="78">
        <f>IF($A219="","",IF('Importar Reservas'!O211="",0,'Importar Reservas'!O211))</f>
        <v/>
      </c>
      <c r="E219" s="78">
        <f>IF($A219="","",IF('Importar Reservas'!N211="",0,'Importar Reservas'!N211))</f>
        <v/>
      </c>
      <c r="F219" s="78">
        <f>IF($A219="","",IFERROR(INDEX(Configurações!$C$5:$C$100,MATCH($C219,Configurações!$A$5:$A$100,0)),"Margem"))</f>
        <v/>
      </c>
      <c r="G219" s="78">
        <f>IF($A219="","",IFERROR(INDEX(Configurações!$B$5:$B$100,MATCH($C219,Configurações!$A$5:$A$100,0)),0))</f>
        <v/>
      </c>
      <c r="H219" s="78">
        <f>IF(OR($A219="",'Importar Reservas'!M211&lt;&gt;"Aprovado",$D219&lt;=0),"",MAX(0,IF($F219="Margem",$D219-$E219,$D219))*$G219)</f>
        <v/>
      </c>
    </row>
    <row r="220" ht="15" customHeight="1" s="79">
      <c r="A220" s="78">
        <f>IF('Importar Reservas'!A212="","",'Importar Reservas'!A212)</f>
        <v/>
      </c>
      <c r="B220" s="78">
        <f>IF($A220="","",'Importar Reservas'!B212)</f>
        <v/>
      </c>
      <c r="C220" s="78">
        <f>IF($A220="","",'Importar Reservas'!Z212)</f>
        <v/>
      </c>
      <c r="D220" s="78">
        <f>IF($A220="","",IF('Importar Reservas'!O212="",0,'Importar Reservas'!O212))</f>
        <v/>
      </c>
      <c r="E220" s="78">
        <f>IF($A220="","",IF('Importar Reservas'!N212="",0,'Importar Reservas'!N212))</f>
        <v/>
      </c>
      <c r="F220" s="78">
        <f>IF($A220="","",IFERROR(INDEX(Configurações!$C$5:$C$100,MATCH($C220,Configurações!$A$5:$A$100,0)),"Margem"))</f>
        <v/>
      </c>
      <c r="G220" s="78">
        <f>IF($A220="","",IFERROR(INDEX(Configurações!$B$5:$B$100,MATCH($C220,Configurações!$A$5:$A$100,0)),0))</f>
        <v/>
      </c>
      <c r="H220" s="78">
        <f>IF(OR($A220="",'Importar Reservas'!M212&lt;&gt;"Aprovado",$D220&lt;=0),"",MAX(0,IF($F220="Margem",$D220-$E220,$D220))*$G220)</f>
        <v/>
      </c>
    </row>
    <row r="221" ht="15" customHeight="1" s="79">
      <c r="A221" s="78">
        <f>IF('Importar Reservas'!A213="","",'Importar Reservas'!A213)</f>
        <v/>
      </c>
      <c r="B221" s="78">
        <f>IF($A221="","",'Importar Reservas'!B213)</f>
        <v/>
      </c>
      <c r="C221" s="78">
        <f>IF($A221="","",'Importar Reservas'!Z213)</f>
        <v/>
      </c>
      <c r="D221" s="78">
        <f>IF($A221="","",IF('Importar Reservas'!O213="",0,'Importar Reservas'!O213))</f>
        <v/>
      </c>
      <c r="E221" s="78">
        <f>IF($A221="","",IF('Importar Reservas'!N213="",0,'Importar Reservas'!N213))</f>
        <v/>
      </c>
      <c r="F221" s="78">
        <f>IF($A221="","",IFERROR(INDEX(Configurações!$C$5:$C$100,MATCH($C221,Configurações!$A$5:$A$100,0)),"Margem"))</f>
        <v/>
      </c>
      <c r="G221" s="78">
        <f>IF($A221="","",IFERROR(INDEX(Configurações!$B$5:$B$100,MATCH($C221,Configurações!$A$5:$A$100,0)),0))</f>
        <v/>
      </c>
      <c r="H221" s="78">
        <f>IF(OR($A221="",'Importar Reservas'!M213&lt;&gt;"Aprovado",$D221&lt;=0),"",MAX(0,IF($F221="Margem",$D221-$E221,$D221))*$G221)</f>
        <v/>
      </c>
    </row>
    <row r="222" ht="15" customHeight="1" s="79">
      <c r="A222" s="78">
        <f>IF('Importar Reservas'!A214="","",'Importar Reservas'!A214)</f>
        <v/>
      </c>
      <c r="B222" s="78">
        <f>IF($A222="","",'Importar Reservas'!B214)</f>
        <v/>
      </c>
      <c r="C222" s="78">
        <f>IF($A222="","",'Importar Reservas'!Z214)</f>
        <v/>
      </c>
      <c r="D222" s="78">
        <f>IF($A222="","",IF('Importar Reservas'!O214="",0,'Importar Reservas'!O214))</f>
        <v/>
      </c>
      <c r="E222" s="78">
        <f>IF($A222="","",IF('Importar Reservas'!N214="",0,'Importar Reservas'!N214))</f>
        <v/>
      </c>
      <c r="F222" s="78">
        <f>IF($A222="","",IFERROR(INDEX(Configurações!$C$5:$C$100,MATCH($C222,Configurações!$A$5:$A$100,0)),"Margem"))</f>
        <v/>
      </c>
      <c r="G222" s="78">
        <f>IF($A222="","",IFERROR(INDEX(Configurações!$B$5:$B$100,MATCH($C222,Configurações!$A$5:$A$100,0)),0))</f>
        <v/>
      </c>
      <c r="H222" s="78">
        <f>IF(OR($A222="",'Importar Reservas'!M214&lt;&gt;"Aprovado",$D222&lt;=0),"",MAX(0,IF($F222="Margem",$D222-$E222,$D222))*$G222)</f>
        <v/>
      </c>
    </row>
    <row r="223" ht="15" customHeight="1" s="79">
      <c r="A223" s="78">
        <f>IF('Importar Reservas'!A215="","",'Importar Reservas'!A215)</f>
        <v/>
      </c>
      <c r="B223" s="78">
        <f>IF($A223="","",'Importar Reservas'!B215)</f>
        <v/>
      </c>
      <c r="C223" s="78">
        <f>IF($A223="","",'Importar Reservas'!Z215)</f>
        <v/>
      </c>
      <c r="D223" s="78">
        <f>IF($A223="","",IF('Importar Reservas'!O215="",0,'Importar Reservas'!O215))</f>
        <v/>
      </c>
      <c r="E223" s="78">
        <f>IF($A223="","",IF('Importar Reservas'!N215="",0,'Importar Reservas'!N215))</f>
        <v/>
      </c>
      <c r="F223" s="78">
        <f>IF($A223="","",IFERROR(INDEX(Configurações!$C$5:$C$100,MATCH($C223,Configurações!$A$5:$A$100,0)),"Margem"))</f>
        <v/>
      </c>
      <c r="G223" s="78">
        <f>IF($A223="","",IFERROR(INDEX(Configurações!$B$5:$B$100,MATCH($C223,Configurações!$A$5:$A$100,0)),0))</f>
        <v/>
      </c>
      <c r="H223" s="78">
        <f>IF(OR($A223="",'Importar Reservas'!M215&lt;&gt;"Aprovado",$D223&lt;=0),"",MAX(0,IF($F223="Margem",$D223-$E223,$D223))*$G223)</f>
        <v/>
      </c>
    </row>
    <row r="224" ht="15" customHeight="1" s="79">
      <c r="A224" s="78">
        <f>IF('Importar Reservas'!A216="","",'Importar Reservas'!A216)</f>
        <v/>
      </c>
      <c r="B224" s="78">
        <f>IF($A224="","",'Importar Reservas'!B216)</f>
        <v/>
      </c>
      <c r="C224" s="78">
        <f>IF($A224="","",'Importar Reservas'!Z216)</f>
        <v/>
      </c>
      <c r="D224" s="78">
        <f>IF($A224="","",IF('Importar Reservas'!O216="",0,'Importar Reservas'!O216))</f>
        <v/>
      </c>
      <c r="E224" s="78">
        <f>IF($A224="","",IF('Importar Reservas'!N216="",0,'Importar Reservas'!N216))</f>
        <v/>
      </c>
      <c r="F224" s="78">
        <f>IF($A224="","",IFERROR(INDEX(Configurações!$C$5:$C$100,MATCH($C224,Configurações!$A$5:$A$100,0)),"Margem"))</f>
        <v/>
      </c>
      <c r="G224" s="78">
        <f>IF($A224="","",IFERROR(INDEX(Configurações!$B$5:$B$100,MATCH($C224,Configurações!$A$5:$A$100,0)),0))</f>
        <v/>
      </c>
      <c r="H224" s="78">
        <f>IF(OR($A224="",'Importar Reservas'!M216&lt;&gt;"Aprovado",$D224&lt;=0),"",MAX(0,IF($F224="Margem",$D224-$E224,$D224))*$G224)</f>
        <v/>
      </c>
    </row>
    <row r="225" ht="15" customHeight="1" s="79">
      <c r="A225" s="78">
        <f>IF('Importar Reservas'!A217="","",'Importar Reservas'!A217)</f>
        <v/>
      </c>
      <c r="B225" s="78">
        <f>IF($A225="","",'Importar Reservas'!B217)</f>
        <v/>
      </c>
      <c r="C225" s="78">
        <f>IF($A225="","",'Importar Reservas'!Z217)</f>
        <v/>
      </c>
      <c r="D225" s="78">
        <f>IF($A225="","",IF('Importar Reservas'!O217="",0,'Importar Reservas'!O217))</f>
        <v/>
      </c>
      <c r="E225" s="78">
        <f>IF($A225="","",IF('Importar Reservas'!N217="",0,'Importar Reservas'!N217))</f>
        <v/>
      </c>
      <c r="F225" s="78">
        <f>IF($A225="","",IFERROR(INDEX(Configurações!$C$5:$C$100,MATCH($C225,Configurações!$A$5:$A$100,0)),"Margem"))</f>
        <v/>
      </c>
      <c r="G225" s="78">
        <f>IF($A225="","",IFERROR(INDEX(Configurações!$B$5:$B$100,MATCH($C225,Configurações!$A$5:$A$100,0)),0))</f>
        <v/>
      </c>
      <c r="H225" s="78">
        <f>IF(OR($A225="",'Importar Reservas'!M217&lt;&gt;"Aprovado",$D225&lt;=0),"",MAX(0,IF($F225="Margem",$D225-$E225,$D225))*$G225)</f>
        <v/>
      </c>
    </row>
    <row r="226" ht="15" customHeight="1" s="79">
      <c r="A226" s="78">
        <f>IF('Importar Reservas'!A218="","",'Importar Reservas'!A218)</f>
        <v/>
      </c>
      <c r="B226" s="78">
        <f>IF($A226="","",'Importar Reservas'!B218)</f>
        <v/>
      </c>
      <c r="C226" s="78">
        <f>IF($A226="","",'Importar Reservas'!Z218)</f>
        <v/>
      </c>
      <c r="D226" s="78">
        <f>IF($A226="","",IF('Importar Reservas'!O218="",0,'Importar Reservas'!O218))</f>
        <v/>
      </c>
      <c r="E226" s="78">
        <f>IF($A226="","",IF('Importar Reservas'!N218="",0,'Importar Reservas'!N218))</f>
        <v/>
      </c>
      <c r="F226" s="78">
        <f>IF($A226="","",IFERROR(INDEX(Configurações!$C$5:$C$100,MATCH($C226,Configurações!$A$5:$A$100,0)),"Margem"))</f>
        <v/>
      </c>
      <c r="G226" s="78">
        <f>IF($A226="","",IFERROR(INDEX(Configurações!$B$5:$B$100,MATCH($C226,Configurações!$A$5:$A$100,0)),0))</f>
        <v/>
      </c>
      <c r="H226" s="78">
        <f>IF(OR($A226="",'Importar Reservas'!M218&lt;&gt;"Aprovado",$D226&lt;=0),"",MAX(0,IF($F226="Margem",$D226-$E226,$D226))*$G226)</f>
        <v/>
      </c>
    </row>
    <row r="227" ht="15" customHeight="1" s="79">
      <c r="A227" s="78">
        <f>IF('Importar Reservas'!A219="","",'Importar Reservas'!A219)</f>
        <v/>
      </c>
      <c r="B227" s="78">
        <f>IF($A227="","",'Importar Reservas'!B219)</f>
        <v/>
      </c>
      <c r="C227" s="78">
        <f>IF($A227="","",'Importar Reservas'!Z219)</f>
        <v/>
      </c>
      <c r="D227" s="78">
        <f>IF($A227="","",IF('Importar Reservas'!O219="",0,'Importar Reservas'!O219))</f>
        <v/>
      </c>
      <c r="E227" s="78">
        <f>IF($A227="","",IF('Importar Reservas'!N219="",0,'Importar Reservas'!N219))</f>
        <v/>
      </c>
      <c r="F227" s="78">
        <f>IF($A227="","",IFERROR(INDEX(Configurações!$C$5:$C$100,MATCH($C227,Configurações!$A$5:$A$100,0)),"Margem"))</f>
        <v/>
      </c>
      <c r="G227" s="78">
        <f>IF($A227="","",IFERROR(INDEX(Configurações!$B$5:$B$100,MATCH($C227,Configurações!$A$5:$A$100,0)),0))</f>
        <v/>
      </c>
      <c r="H227" s="78">
        <f>IF(OR($A227="",'Importar Reservas'!M219&lt;&gt;"Aprovado",$D227&lt;=0),"",MAX(0,IF($F227="Margem",$D227-$E227,$D227))*$G227)</f>
        <v/>
      </c>
    </row>
    <row r="228" ht="15" customHeight="1" s="79">
      <c r="A228" s="78">
        <f>IF('Importar Reservas'!A220="","",'Importar Reservas'!A220)</f>
        <v/>
      </c>
      <c r="B228" s="78">
        <f>IF($A228="","",'Importar Reservas'!B220)</f>
        <v/>
      </c>
      <c r="C228" s="78">
        <f>IF($A228="","",'Importar Reservas'!Z220)</f>
        <v/>
      </c>
      <c r="D228" s="78">
        <f>IF($A228="","",IF('Importar Reservas'!O220="",0,'Importar Reservas'!O220))</f>
        <v/>
      </c>
      <c r="E228" s="78">
        <f>IF($A228="","",IF('Importar Reservas'!N220="",0,'Importar Reservas'!N220))</f>
        <v/>
      </c>
      <c r="F228" s="78">
        <f>IF($A228="","",IFERROR(INDEX(Configurações!$C$5:$C$100,MATCH($C228,Configurações!$A$5:$A$100,0)),"Margem"))</f>
        <v/>
      </c>
      <c r="G228" s="78">
        <f>IF($A228="","",IFERROR(INDEX(Configurações!$B$5:$B$100,MATCH($C228,Configurações!$A$5:$A$100,0)),0))</f>
        <v/>
      </c>
      <c r="H228" s="78">
        <f>IF(OR($A228="",'Importar Reservas'!M220&lt;&gt;"Aprovado",$D228&lt;=0),"",MAX(0,IF($F228="Margem",$D228-$E228,$D228))*$G228)</f>
        <v/>
      </c>
    </row>
    <row r="229" ht="15" customHeight="1" s="79">
      <c r="A229" s="78">
        <f>IF('Importar Reservas'!A221="","",'Importar Reservas'!A221)</f>
        <v/>
      </c>
      <c r="B229" s="78">
        <f>IF($A229="","",'Importar Reservas'!B221)</f>
        <v/>
      </c>
      <c r="C229" s="78">
        <f>IF($A229="","",'Importar Reservas'!Z221)</f>
        <v/>
      </c>
      <c r="D229" s="78">
        <f>IF($A229="","",IF('Importar Reservas'!O221="",0,'Importar Reservas'!O221))</f>
        <v/>
      </c>
      <c r="E229" s="78">
        <f>IF($A229="","",IF('Importar Reservas'!N221="",0,'Importar Reservas'!N221))</f>
        <v/>
      </c>
      <c r="F229" s="78">
        <f>IF($A229="","",IFERROR(INDEX(Configurações!$C$5:$C$100,MATCH($C229,Configurações!$A$5:$A$100,0)),"Margem"))</f>
        <v/>
      </c>
      <c r="G229" s="78">
        <f>IF($A229="","",IFERROR(INDEX(Configurações!$B$5:$B$100,MATCH($C229,Configurações!$A$5:$A$100,0)),0))</f>
        <v/>
      </c>
      <c r="H229" s="78">
        <f>IF(OR($A229="",'Importar Reservas'!M221&lt;&gt;"Aprovado",$D229&lt;=0),"",MAX(0,IF($F229="Margem",$D229-$E229,$D229))*$G229)</f>
        <v/>
      </c>
    </row>
    <row r="230" ht="15" customHeight="1" s="79">
      <c r="A230" s="78">
        <f>IF('Importar Reservas'!A222="","",'Importar Reservas'!A222)</f>
        <v/>
      </c>
      <c r="B230" s="78">
        <f>IF($A230="","",'Importar Reservas'!B222)</f>
        <v/>
      </c>
      <c r="C230" s="78">
        <f>IF($A230="","",'Importar Reservas'!Z222)</f>
        <v/>
      </c>
      <c r="D230" s="78">
        <f>IF($A230="","",IF('Importar Reservas'!O222="",0,'Importar Reservas'!O222))</f>
        <v/>
      </c>
      <c r="E230" s="78">
        <f>IF($A230="","",IF('Importar Reservas'!N222="",0,'Importar Reservas'!N222))</f>
        <v/>
      </c>
      <c r="F230" s="78">
        <f>IF($A230="","",IFERROR(INDEX(Configurações!$C$5:$C$100,MATCH($C230,Configurações!$A$5:$A$100,0)),"Margem"))</f>
        <v/>
      </c>
      <c r="G230" s="78">
        <f>IF($A230="","",IFERROR(INDEX(Configurações!$B$5:$B$100,MATCH($C230,Configurações!$A$5:$A$100,0)),0))</f>
        <v/>
      </c>
      <c r="H230" s="78">
        <f>IF(OR($A230="",'Importar Reservas'!M222&lt;&gt;"Aprovado",$D230&lt;=0),"",MAX(0,IF($F230="Margem",$D230-$E230,$D230))*$G230)</f>
        <v/>
      </c>
    </row>
    <row r="231" ht="15" customHeight="1" s="79">
      <c r="A231" s="78">
        <f>IF('Importar Reservas'!A223="","",'Importar Reservas'!A223)</f>
        <v/>
      </c>
      <c r="B231" s="78">
        <f>IF($A231="","",'Importar Reservas'!B223)</f>
        <v/>
      </c>
      <c r="C231" s="78">
        <f>IF($A231="","",'Importar Reservas'!Z223)</f>
        <v/>
      </c>
      <c r="D231" s="78">
        <f>IF($A231="","",IF('Importar Reservas'!O223="",0,'Importar Reservas'!O223))</f>
        <v/>
      </c>
      <c r="E231" s="78">
        <f>IF($A231="","",IF('Importar Reservas'!N223="",0,'Importar Reservas'!N223))</f>
        <v/>
      </c>
      <c r="F231" s="78">
        <f>IF($A231="","",IFERROR(INDEX(Configurações!$C$5:$C$100,MATCH($C231,Configurações!$A$5:$A$100,0)),"Margem"))</f>
        <v/>
      </c>
      <c r="G231" s="78">
        <f>IF($A231="","",IFERROR(INDEX(Configurações!$B$5:$B$100,MATCH($C231,Configurações!$A$5:$A$100,0)),0))</f>
        <v/>
      </c>
      <c r="H231" s="78">
        <f>IF(OR($A231="",'Importar Reservas'!M223&lt;&gt;"Aprovado",$D231&lt;=0),"",MAX(0,IF($F231="Margem",$D231-$E231,$D231))*$G231)</f>
        <v/>
      </c>
    </row>
    <row r="232" ht="15" customHeight="1" s="79">
      <c r="A232" s="78">
        <f>IF('Importar Reservas'!A224="","",'Importar Reservas'!A224)</f>
        <v/>
      </c>
      <c r="B232" s="78">
        <f>IF($A232="","",'Importar Reservas'!B224)</f>
        <v/>
      </c>
      <c r="C232" s="78">
        <f>IF($A232="","",'Importar Reservas'!Z224)</f>
        <v/>
      </c>
      <c r="D232" s="78">
        <f>IF($A232="","",IF('Importar Reservas'!O224="",0,'Importar Reservas'!O224))</f>
        <v/>
      </c>
      <c r="E232" s="78">
        <f>IF($A232="","",IF('Importar Reservas'!N224="",0,'Importar Reservas'!N224))</f>
        <v/>
      </c>
      <c r="F232" s="78">
        <f>IF($A232="","",IFERROR(INDEX(Configurações!$C$5:$C$100,MATCH($C232,Configurações!$A$5:$A$100,0)),"Margem"))</f>
        <v/>
      </c>
      <c r="G232" s="78">
        <f>IF($A232="","",IFERROR(INDEX(Configurações!$B$5:$B$100,MATCH($C232,Configurações!$A$5:$A$100,0)),0))</f>
        <v/>
      </c>
      <c r="H232" s="78">
        <f>IF(OR($A232="",'Importar Reservas'!M224&lt;&gt;"Aprovado",$D232&lt;=0),"",MAX(0,IF($F232="Margem",$D232-$E232,$D232))*$G232)</f>
        <v/>
      </c>
    </row>
    <row r="233" ht="15" customHeight="1" s="79">
      <c r="A233" s="78">
        <f>IF('Importar Reservas'!A225="","",'Importar Reservas'!A225)</f>
        <v/>
      </c>
      <c r="B233" s="78">
        <f>IF($A233="","",'Importar Reservas'!B225)</f>
        <v/>
      </c>
      <c r="C233" s="78">
        <f>IF($A233="","",'Importar Reservas'!Z225)</f>
        <v/>
      </c>
      <c r="D233" s="78">
        <f>IF($A233="","",IF('Importar Reservas'!O225="",0,'Importar Reservas'!O225))</f>
        <v/>
      </c>
      <c r="E233" s="78">
        <f>IF($A233="","",IF('Importar Reservas'!N225="",0,'Importar Reservas'!N225))</f>
        <v/>
      </c>
      <c r="F233" s="78">
        <f>IF($A233="","",IFERROR(INDEX(Configurações!$C$5:$C$100,MATCH($C233,Configurações!$A$5:$A$100,0)),"Margem"))</f>
        <v/>
      </c>
      <c r="G233" s="78">
        <f>IF($A233="","",IFERROR(INDEX(Configurações!$B$5:$B$100,MATCH($C233,Configurações!$A$5:$A$100,0)),0))</f>
        <v/>
      </c>
      <c r="H233" s="78">
        <f>IF(OR($A233="",'Importar Reservas'!M225&lt;&gt;"Aprovado",$D233&lt;=0),"",MAX(0,IF($F233="Margem",$D233-$E233,$D233))*$G233)</f>
        <v/>
      </c>
    </row>
    <row r="234" ht="15" customHeight="1" s="79">
      <c r="A234" s="78">
        <f>IF('Importar Reservas'!A226="","",'Importar Reservas'!A226)</f>
        <v/>
      </c>
      <c r="B234" s="78">
        <f>IF($A234="","",'Importar Reservas'!B226)</f>
        <v/>
      </c>
      <c r="C234" s="78">
        <f>IF($A234="","",'Importar Reservas'!Z226)</f>
        <v/>
      </c>
      <c r="D234" s="78">
        <f>IF($A234="","",IF('Importar Reservas'!O226="",0,'Importar Reservas'!O226))</f>
        <v/>
      </c>
      <c r="E234" s="78">
        <f>IF($A234="","",IF('Importar Reservas'!N226="",0,'Importar Reservas'!N226))</f>
        <v/>
      </c>
      <c r="F234" s="78">
        <f>IF($A234="","",IFERROR(INDEX(Configurações!$C$5:$C$100,MATCH($C234,Configurações!$A$5:$A$100,0)),"Margem"))</f>
        <v/>
      </c>
      <c r="G234" s="78">
        <f>IF($A234="","",IFERROR(INDEX(Configurações!$B$5:$B$100,MATCH($C234,Configurações!$A$5:$A$100,0)),0))</f>
        <v/>
      </c>
      <c r="H234" s="78">
        <f>IF(OR($A234="",'Importar Reservas'!M226&lt;&gt;"Aprovado",$D234&lt;=0),"",MAX(0,IF($F234="Margem",$D234-$E234,$D234))*$G234)</f>
        <v/>
      </c>
    </row>
    <row r="235" ht="15" customHeight="1" s="79">
      <c r="A235" s="78">
        <f>IF('Importar Reservas'!A227="","",'Importar Reservas'!A227)</f>
        <v/>
      </c>
      <c r="B235" s="78">
        <f>IF($A235="","",'Importar Reservas'!B227)</f>
        <v/>
      </c>
      <c r="C235" s="78">
        <f>IF($A235="","",'Importar Reservas'!Z227)</f>
        <v/>
      </c>
      <c r="D235" s="78">
        <f>IF($A235="","",IF('Importar Reservas'!O227="",0,'Importar Reservas'!O227))</f>
        <v/>
      </c>
      <c r="E235" s="78">
        <f>IF($A235="","",IF('Importar Reservas'!N227="",0,'Importar Reservas'!N227))</f>
        <v/>
      </c>
      <c r="F235" s="78">
        <f>IF($A235="","",IFERROR(INDEX(Configurações!$C$5:$C$100,MATCH($C235,Configurações!$A$5:$A$100,0)),"Margem"))</f>
        <v/>
      </c>
      <c r="G235" s="78">
        <f>IF($A235="","",IFERROR(INDEX(Configurações!$B$5:$B$100,MATCH($C235,Configurações!$A$5:$A$100,0)),0))</f>
        <v/>
      </c>
      <c r="H235" s="78">
        <f>IF(OR($A235="",'Importar Reservas'!M227&lt;&gt;"Aprovado",$D235&lt;=0),"",MAX(0,IF($F235="Margem",$D235-$E235,$D235))*$G235)</f>
        <v/>
      </c>
    </row>
    <row r="236" ht="15" customHeight="1" s="79">
      <c r="A236" s="78">
        <f>IF('Importar Reservas'!A228="","",'Importar Reservas'!A228)</f>
        <v/>
      </c>
      <c r="B236" s="78">
        <f>IF($A236="","",'Importar Reservas'!B228)</f>
        <v/>
      </c>
      <c r="C236" s="78">
        <f>IF($A236="","",'Importar Reservas'!Z228)</f>
        <v/>
      </c>
      <c r="D236" s="78">
        <f>IF($A236="","",IF('Importar Reservas'!O228="",0,'Importar Reservas'!O228))</f>
        <v/>
      </c>
      <c r="E236" s="78">
        <f>IF($A236="","",IF('Importar Reservas'!N228="",0,'Importar Reservas'!N228))</f>
        <v/>
      </c>
      <c r="F236" s="78">
        <f>IF($A236="","",IFERROR(INDEX(Configurações!$C$5:$C$100,MATCH($C236,Configurações!$A$5:$A$100,0)),"Margem"))</f>
        <v/>
      </c>
      <c r="G236" s="78">
        <f>IF($A236="","",IFERROR(INDEX(Configurações!$B$5:$B$100,MATCH($C236,Configurações!$A$5:$A$100,0)),0))</f>
        <v/>
      </c>
      <c r="H236" s="78">
        <f>IF(OR($A236="",'Importar Reservas'!M228&lt;&gt;"Aprovado",$D236&lt;=0),"",MAX(0,IF($F236="Margem",$D236-$E236,$D236))*$G236)</f>
        <v/>
      </c>
    </row>
    <row r="237" ht="15" customHeight="1" s="79">
      <c r="A237" s="78">
        <f>IF('Importar Reservas'!A229="","",'Importar Reservas'!A229)</f>
        <v/>
      </c>
      <c r="B237" s="78">
        <f>IF($A237="","",'Importar Reservas'!B229)</f>
        <v/>
      </c>
      <c r="C237" s="78">
        <f>IF($A237="","",'Importar Reservas'!Z229)</f>
        <v/>
      </c>
      <c r="D237" s="78">
        <f>IF($A237="","",IF('Importar Reservas'!O229="",0,'Importar Reservas'!O229))</f>
        <v/>
      </c>
      <c r="E237" s="78">
        <f>IF($A237="","",IF('Importar Reservas'!N229="",0,'Importar Reservas'!N229))</f>
        <v/>
      </c>
      <c r="F237" s="78">
        <f>IF($A237="","",IFERROR(INDEX(Configurações!$C$5:$C$100,MATCH($C237,Configurações!$A$5:$A$100,0)),"Margem"))</f>
        <v/>
      </c>
      <c r="G237" s="78">
        <f>IF($A237="","",IFERROR(INDEX(Configurações!$B$5:$B$100,MATCH($C237,Configurações!$A$5:$A$100,0)),0))</f>
        <v/>
      </c>
      <c r="H237" s="78">
        <f>IF(OR($A237="",'Importar Reservas'!M229&lt;&gt;"Aprovado",$D237&lt;=0),"",MAX(0,IF($F237="Margem",$D237-$E237,$D237))*$G237)</f>
        <v/>
      </c>
    </row>
    <row r="238" ht="15" customHeight="1" s="79">
      <c r="A238" s="78">
        <f>IF('Importar Reservas'!A230="","",'Importar Reservas'!A230)</f>
        <v/>
      </c>
      <c r="B238" s="78">
        <f>IF($A238="","",'Importar Reservas'!B230)</f>
        <v/>
      </c>
      <c r="C238" s="78">
        <f>IF($A238="","",'Importar Reservas'!Z230)</f>
        <v/>
      </c>
      <c r="D238" s="78">
        <f>IF($A238="","",IF('Importar Reservas'!O230="",0,'Importar Reservas'!O230))</f>
        <v/>
      </c>
      <c r="E238" s="78">
        <f>IF($A238="","",IF('Importar Reservas'!N230="",0,'Importar Reservas'!N230))</f>
        <v/>
      </c>
      <c r="F238" s="78">
        <f>IF($A238="","",IFERROR(INDEX(Configurações!$C$5:$C$100,MATCH($C238,Configurações!$A$5:$A$100,0)),"Margem"))</f>
        <v/>
      </c>
      <c r="G238" s="78">
        <f>IF($A238="","",IFERROR(INDEX(Configurações!$B$5:$B$100,MATCH($C238,Configurações!$A$5:$A$100,0)),0))</f>
        <v/>
      </c>
      <c r="H238" s="78">
        <f>IF(OR($A238="",'Importar Reservas'!M230&lt;&gt;"Aprovado",$D238&lt;=0),"",MAX(0,IF($F238="Margem",$D238-$E238,$D238))*$G238)</f>
        <v/>
      </c>
    </row>
    <row r="239" ht="15" customHeight="1" s="79">
      <c r="A239" s="78">
        <f>IF('Importar Reservas'!A231="","",'Importar Reservas'!A231)</f>
        <v/>
      </c>
      <c r="B239" s="78">
        <f>IF($A239="","",'Importar Reservas'!B231)</f>
        <v/>
      </c>
      <c r="C239" s="78">
        <f>IF($A239="","",'Importar Reservas'!Z231)</f>
        <v/>
      </c>
      <c r="D239" s="78">
        <f>IF($A239="","",IF('Importar Reservas'!O231="",0,'Importar Reservas'!O231))</f>
        <v/>
      </c>
      <c r="E239" s="78">
        <f>IF($A239="","",IF('Importar Reservas'!N231="",0,'Importar Reservas'!N231))</f>
        <v/>
      </c>
      <c r="F239" s="78">
        <f>IF($A239="","",IFERROR(INDEX(Configurações!$C$5:$C$100,MATCH($C239,Configurações!$A$5:$A$100,0)),"Margem"))</f>
        <v/>
      </c>
      <c r="G239" s="78">
        <f>IF($A239="","",IFERROR(INDEX(Configurações!$B$5:$B$100,MATCH($C239,Configurações!$A$5:$A$100,0)),0))</f>
        <v/>
      </c>
      <c r="H239" s="78">
        <f>IF(OR($A239="",'Importar Reservas'!M231&lt;&gt;"Aprovado",$D239&lt;=0),"",MAX(0,IF($F239="Margem",$D239-$E239,$D239))*$G239)</f>
        <v/>
      </c>
    </row>
    <row r="240" ht="15" customHeight="1" s="79">
      <c r="A240" s="78">
        <f>IF('Importar Reservas'!A232="","",'Importar Reservas'!A232)</f>
        <v/>
      </c>
      <c r="B240" s="78">
        <f>IF($A240="","",'Importar Reservas'!B232)</f>
        <v/>
      </c>
      <c r="C240" s="78">
        <f>IF($A240="","",'Importar Reservas'!Z232)</f>
        <v/>
      </c>
      <c r="D240" s="78">
        <f>IF($A240="","",IF('Importar Reservas'!O232="",0,'Importar Reservas'!O232))</f>
        <v/>
      </c>
      <c r="E240" s="78">
        <f>IF($A240="","",IF('Importar Reservas'!N232="",0,'Importar Reservas'!N232))</f>
        <v/>
      </c>
      <c r="F240" s="78">
        <f>IF($A240="","",IFERROR(INDEX(Configurações!$C$5:$C$100,MATCH($C240,Configurações!$A$5:$A$100,0)),"Margem"))</f>
        <v/>
      </c>
      <c r="G240" s="78">
        <f>IF($A240="","",IFERROR(INDEX(Configurações!$B$5:$B$100,MATCH($C240,Configurações!$A$5:$A$100,0)),0))</f>
        <v/>
      </c>
      <c r="H240" s="78">
        <f>IF(OR($A240="",'Importar Reservas'!M232&lt;&gt;"Aprovado",$D240&lt;=0),"",MAX(0,IF($F240="Margem",$D240-$E240,$D240))*$G240)</f>
        <v/>
      </c>
    </row>
    <row r="241" ht="15" customHeight="1" s="79">
      <c r="A241" s="78">
        <f>IF('Importar Reservas'!A233="","",'Importar Reservas'!A233)</f>
        <v/>
      </c>
      <c r="B241" s="78">
        <f>IF($A241="","",'Importar Reservas'!B233)</f>
        <v/>
      </c>
      <c r="C241" s="78">
        <f>IF($A241="","",'Importar Reservas'!Z233)</f>
        <v/>
      </c>
      <c r="D241" s="78">
        <f>IF($A241="","",IF('Importar Reservas'!O233="",0,'Importar Reservas'!O233))</f>
        <v/>
      </c>
      <c r="E241" s="78">
        <f>IF($A241="","",IF('Importar Reservas'!N233="",0,'Importar Reservas'!N233))</f>
        <v/>
      </c>
      <c r="F241" s="78">
        <f>IF($A241="","",IFERROR(INDEX(Configurações!$C$5:$C$100,MATCH($C241,Configurações!$A$5:$A$100,0)),"Margem"))</f>
        <v/>
      </c>
      <c r="G241" s="78">
        <f>IF($A241="","",IFERROR(INDEX(Configurações!$B$5:$B$100,MATCH($C241,Configurações!$A$5:$A$100,0)),0))</f>
        <v/>
      </c>
      <c r="H241" s="78">
        <f>IF(OR($A241="",'Importar Reservas'!M233&lt;&gt;"Aprovado",$D241&lt;=0),"",MAX(0,IF($F241="Margem",$D241-$E241,$D241))*$G241)</f>
        <v/>
      </c>
    </row>
    <row r="242" ht="15" customHeight="1" s="79">
      <c r="A242" s="78">
        <f>IF('Importar Reservas'!A234="","",'Importar Reservas'!A234)</f>
        <v/>
      </c>
      <c r="B242" s="78">
        <f>IF($A242="","",'Importar Reservas'!B234)</f>
        <v/>
      </c>
      <c r="C242" s="78">
        <f>IF($A242="","",'Importar Reservas'!Z234)</f>
        <v/>
      </c>
      <c r="D242" s="78">
        <f>IF($A242="","",IF('Importar Reservas'!O234="",0,'Importar Reservas'!O234))</f>
        <v/>
      </c>
      <c r="E242" s="78">
        <f>IF($A242="","",IF('Importar Reservas'!N234="",0,'Importar Reservas'!N234))</f>
        <v/>
      </c>
      <c r="F242" s="78">
        <f>IF($A242="","",IFERROR(INDEX(Configurações!$C$5:$C$100,MATCH($C242,Configurações!$A$5:$A$100,0)),"Margem"))</f>
        <v/>
      </c>
      <c r="G242" s="78">
        <f>IF($A242="","",IFERROR(INDEX(Configurações!$B$5:$B$100,MATCH($C242,Configurações!$A$5:$A$100,0)),0))</f>
        <v/>
      </c>
      <c r="H242" s="78">
        <f>IF(OR($A242="",'Importar Reservas'!M234&lt;&gt;"Aprovado",$D242&lt;=0),"",MAX(0,IF($F242="Margem",$D242-$E242,$D242))*$G242)</f>
        <v/>
      </c>
    </row>
    <row r="243" ht="15" customHeight="1" s="79">
      <c r="A243" s="78">
        <f>IF('Importar Reservas'!A235="","",'Importar Reservas'!A235)</f>
        <v/>
      </c>
      <c r="B243" s="78">
        <f>IF($A243="","",'Importar Reservas'!B235)</f>
        <v/>
      </c>
      <c r="C243" s="78">
        <f>IF($A243="","",'Importar Reservas'!Z235)</f>
        <v/>
      </c>
      <c r="D243" s="78">
        <f>IF($A243="","",IF('Importar Reservas'!O235="",0,'Importar Reservas'!O235))</f>
        <v/>
      </c>
      <c r="E243" s="78">
        <f>IF($A243="","",IF('Importar Reservas'!N235="",0,'Importar Reservas'!N235))</f>
        <v/>
      </c>
      <c r="F243" s="78">
        <f>IF($A243="","",IFERROR(INDEX(Configurações!$C$5:$C$100,MATCH($C243,Configurações!$A$5:$A$100,0)),"Margem"))</f>
        <v/>
      </c>
      <c r="G243" s="78">
        <f>IF($A243="","",IFERROR(INDEX(Configurações!$B$5:$B$100,MATCH($C243,Configurações!$A$5:$A$100,0)),0))</f>
        <v/>
      </c>
      <c r="H243" s="78">
        <f>IF(OR($A243="",'Importar Reservas'!M235&lt;&gt;"Aprovado",$D243&lt;=0),"",MAX(0,IF($F243="Margem",$D243-$E243,$D243))*$G243)</f>
        <v/>
      </c>
    </row>
    <row r="244" ht="15" customHeight="1" s="79">
      <c r="A244" s="78">
        <f>IF('Importar Reservas'!A236="","",'Importar Reservas'!A236)</f>
        <v/>
      </c>
      <c r="B244" s="78">
        <f>IF($A244="","",'Importar Reservas'!B236)</f>
        <v/>
      </c>
      <c r="C244" s="78">
        <f>IF($A244="","",'Importar Reservas'!Z236)</f>
        <v/>
      </c>
      <c r="D244" s="78">
        <f>IF($A244="","",IF('Importar Reservas'!O236="",0,'Importar Reservas'!O236))</f>
        <v/>
      </c>
      <c r="E244" s="78">
        <f>IF($A244="","",IF('Importar Reservas'!N236="",0,'Importar Reservas'!N236))</f>
        <v/>
      </c>
      <c r="F244" s="78">
        <f>IF($A244="","",IFERROR(INDEX(Configurações!$C$5:$C$100,MATCH($C244,Configurações!$A$5:$A$100,0)),"Margem"))</f>
        <v/>
      </c>
      <c r="G244" s="78">
        <f>IF($A244="","",IFERROR(INDEX(Configurações!$B$5:$B$100,MATCH($C244,Configurações!$A$5:$A$100,0)),0))</f>
        <v/>
      </c>
      <c r="H244" s="78">
        <f>IF(OR($A244="",'Importar Reservas'!M236&lt;&gt;"Aprovado",$D244&lt;=0),"",MAX(0,IF($F244="Margem",$D244-$E244,$D244))*$G244)</f>
        <v/>
      </c>
    </row>
    <row r="245" ht="15" customHeight="1" s="79">
      <c r="A245" s="78">
        <f>IF('Importar Reservas'!A237="","",'Importar Reservas'!A237)</f>
        <v/>
      </c>
      <c r="B245" s="78">
        <f>IF($A245="","",'Importar Reservas'!B237)</f>
        <v/>
      </c>
      <c r="C245" s="78">
        <f>IF($A245="","",'Importar Reservas'!Z237)</f>
        <v/>
      </c>
      <c r="D245" s="78">
        <f>IF($A245="","",IF('Importar Reservas'!O237="",0,'Importar Reservas'!O237))</f>
        <v/>
      </c>
      <c r="E245" s="78">
        <f>IF($A245="","",IF('Importar Reservas'!N237="",0,'Importar Reservas'!N237))</f>
        <v/>
      </c>
      <c r="F245" s="78">
        <f>IF($A245="","",IFERROR(INDEX(Configurações!$C$5:$C$100,MATCH($C245,Configurações!$A$5:$A$100,0)),"Margem"))</f>
        <v/>
      </c>
      <c r="G245" s="78">
        <f>IF($A245="","",IFERROR(INDEX(Configurações!$B$5:$B$100,MATCH($C245,Configurações!$A$5:$A$100,0)),0))</f>
        <v/>
      </c>
      <c r="H245" s="78">
        <f>IF(OR($A245="",'Importar Reservas'!M237&lt;&gt;"Aprovado",$D245&lt;=0),"",MAX(0,IF($F245="Margem",$D245-$E245,$D245))*$G245)</f>
        <v/>
      </c>
    </row>
    <row r="246" ht="15" customHeight="1" s="79">
      <c r="A246" s="78">
        <f>IF('Importar Reservas'!A238="","",'Importar Reservas'!A238)</f>
        <v/>
      </c>
      <c r="B246" s="78">
        <f>IF($A246="","",'Importar Reservas'!B238)</f>
        <v/>
      </c>
      <c r="C246" s="78">
        <f>IF($A246="","",'Importar Reservas'!Z238)</f>
        <v/>
      </c>
      <c r="D246" s="78">
        <f>IF($A246="","",IF('Importar Reservas'!O238="",0,'Importar Reservas'!O238))</f>
        <v/>
      </c>
      <c r="E246" s="78">
        <f>IF($A246="","",IF('Importar Reservas'!N238="",0,'Importar Reservas'!N238))</f>
        <v/>
      </c>
      <c r="F246" s="78">
        <f>IF($A246="","",IFERROR(INDEX(Configurações!$C$5:$C$100,MATCH($C246,Configurações!$A$5:$A$100,0)),"Margem"))</f>
        <v/>
      </c>
      <c r="G246" s="78">
        <f>IF($A246="","",IFERROR(INDEX(Configurações!$B$5:$B$100,MATCH($C246,Configurações!$A$5:$A$100,0)),0))</f>
        <v/>
      </c>
      <c r="H246" s="78">
        <f>IF(OR($A246="",'Importar Reservas'!M238&lt;&gt;"Aprovado",$D246&lt;=0),"",MAX(0,IF($F246="Margem",$D246-$E246,$D246))*$G246)</f>
        <v/>
      </c>
    </row>
    <row r="247" ht="15" customHeight="1" s="79">
      <c r="A247" s="78">
        <f>IF('Importar Reservas'!A239="","",'Importar Reservas'!A239)</f>
        <v/>
      </c>
      <c r="B247" s="78">
        <f>IF($A247="","",'Importar Reservas'!B239)</f>
        <v/>
      </c>
      <c r="C247" s="78">
        <f>IF($A247="","",'Importar Reservas'!Z239)</f>
        <v/>
      </c>
      <c r="D247" s="78">
        <f>IF($A247="","",IF('Importar Reservas'!O239="",0,'Importar Reservas'!O239))</f>
        <v/>
      </c>
      <c r="E247" s="78">
        <f>IF($A247="","",IF('Importar Reservas'!N239="",0,'Importar Reservas'!N239))</f>
        <v/>
      </c>
      <c r="F247" s="78">
        <f>IF($A247="","",IFERROR(INDEX(Configurações!$C$5:$C$100,MATCH($C247,Configurações!$A$5:$A$100,0)),"Margem"))</f>
        <v/>
      </c>
      <c r="G247" s="78">
        <f>IF($A247="","",IFERROR(INDEX(Configurações!$B$5:$B$100,MATCH($C247,Configurações!$A$5:$A$100,0)),0))</f>
        <v/>
      </c>
      <c r="H247" s="78">
        <f>IF(OR($A247="",'Importar Reservas'!M239&lt;&gt;"Aprovado",$D247&lt;=0),"",MAX(0,IF($F247="Margem",$D247-$E247,$D247))*$G247)</f>
        <v/>
      </c>
    </row>
    <row r="248" ht="15" customHeight="1" s="79">
      <c r="A248" s="78">
        <f>IF('Importar Reservas'!A240="","",'Importar Reservas'!A240)</f>
        <v/>
      </c>
      <c r="B248" s="78">
        <f>IF($A248="","",'Importar Reservas'!B240)</f>
        <v/>
      </c>
      <c r="C248" s="78">
        <f>IF($A248="","",'Importar Reservas'!Z240)</f>
        <v/>
      </c>
      <c r="D248" s="78">
        <f>IF($A248="","",IF('Importar Reservas'!O240="",0,'Importar Reservas'!O240))</f>
        <v/>
      </c>
      <c r="E248" s="78">
        <f>IF($A248="","",IF('Importar Reservas'!N240="",0,'Importar Reservas'!N240))</f>
        <v/>
      </c>
      <c r="F248" s="78">
        <f>IF($A248="","",IFERROR(INDEX(Configurações!$C$5:$C$100,MATCH($C248,Configurações!$A$5:$A$100,0)),"Margem"))</f>
        <v/>
      </c>
      <c r="G248" s="78">
        <f>IF($A248="","",IFERROR(INDEX(Configurações!$B$5:$B$100,MATCH($C248,Configurações!$A$5:$A$100,0)),0))</f>
        <v/>
      </c>
      <c r="H248" s="78">
        <f>IF(OR($A248="",'Importar Reservas'!M240&lt;&gt;"Aprovado",$D248&lt;=0),"",MAX(0,IF($F248="Margem",$D248-$E248,$D248))*$G248)</f>
        <v/>
      </c>
    </row>
    <row r="249" ht="15" customHeight="1" s="79">
      <c r="A249" s="78">
        <f>IF('Importar Reservas'!A241="","",'Importar Reservas'!A241)</f>
        <v/>
      </c>
      <c r="B249" s="78">
        <f>IF($A249="","",'Importar Reservas'!B241)</f>
        <v/>
      </c>
      <c r="C249" s="78">
        <f>IF($A249="","",'Importar Reservas'!Z241)</f>
        <v/>
      </c>
      <c r="D249" s="78">
        <f>IF($A249="","",IF('Importar Reservas'!O241="",0,'Importar Reservas'!O241))</f>
        <v/>
      </c>
      <c r="E249" s="78">
        <f>IF($A249="","",IF('Importar Reservas'!N241="",0,'Importar Reservas'!N241))</f>
        <v/>
      </c>
      <c r="F249" s="78">
        <f>IF($A249="","",IFERROR(INDEX(Configurações!$C$5:$C$100,MATCH($C249,Configurações!$A$5:$A$100,0)),"Margem"))</f>
        <v/>
      </c>
      <c r="G249" s="78">
        <f>IF($A249="","",IFERROR(INDEX(Configurações!$B$5:$B$100,MATCH($C249,Configurações!$A$5:$A$100,0)),0))</f>
        <v/>
      </c>
      <c r="H249" s="78">
        <f>IF(OR($A249="",'Importar Reservas'!M241&lt;&gt;"Aprovado",$D249&lt;=0),"",MAX(0,IF($F249="Margem",$D249-$E249,$D249))*$G249)</f>
        <v/>
      </c>
    </row>
    <row r="250" ht="15" customHeight="1" s="79">
      <c r="A250" s="78">
        <f>IF('Importar Reservas'!A242="","",'Importar Reservas'!A242)</f>
        <v/>
      </c>
      <c r="B250" s="78">
        <f>IF($A250="","",'Importar Reservas'!B242)</f>
        <v/>
      </c>
      <c r="C250" s="78">
        <f>IF($A250="","",'Importar Reservas'!Z242)</f>
        <v/>
      </c>
      <c r="D250" s="78">
        <f>IF($A250="","",IF('Importar Reservas'!O242="",0,'Importar Reservas'!O242))</f>
        <v/>
      </c>
      <c r="E250" s="78">
        <f>IF($A250="","",IF('Importar Reservas'!N242="",0,'Importar Reservas'!N242))</f>
        <v/>
      </c>
      <c r="F250" s="78">
        <f>IF($A250="","",IFERROR(INDEX(Configurações!$C$5:$C$100,MATCH($C250,Configurações!$A$5:$A$100,0)),"Margem"))</f>
        <v/>
      </c>
      <c r="G250" s="78">
        <f>IF($A250="","",IFERROR(INDEX(Configurações!$B$5:$B$100,MATCH($C250,Configurações!$A$5:$A$100,0)),0))</f>
        <v/>
      </c>
      <c r="H250" s="78">
        <f>IF(OR($A250="",'Importar Reservas'!M242&lt;&gt;"Aprovado",$D250&lt;=0),"",MAX(0,IF($F250="Margem",$D250-$E250,$D250))*$G250)</f>
        <v/>
      </c>
    </row>
    <row r="251" ht="15" customHeight="1" s="79">
      <c r="A251" s="78">
        <f>IF('Importar Reservas'!A243="","",'Importar Reservas'!A243)</f>
        <v/>
      </c>
      <c r="B251" s="78">
        <f>IF($A251="","",'Importar Reservas'!B243)</f>
        <v/>
      </c>
      <c r="C251" s="78">
        <f>IF($A251="","",'Importar Reservas'!Z243)</f>
        <v/>
      </c>
      <c r="D251" s="78">
        <f>IF($A251="","",IF('Importar Reservas'!O243="",0,'Importar Reservas'!O243))</f>
        <v/>
      </c>
      <c r="E251" s="78">
        <f>IF($A251="","",IF('Importar Reservas'!N243="",0,'Importar Reservas'!N243))</f>
        <v/>
      </c>
      <c r="F251" s="78">
        <f>IF($A251="","",IFERROR(INDEX(Configurações!$C$5:$C$100,MATCH($C251,Configurações!$A$5:$A$100,0)),"Margem"))</f>
        <v/>
      </c>
      <c r="G251" s="78">
        <f>IF($A251="","",IFERROR(INDEX(Configurações!$B$5:$B$100,MATCH($C251,Configurações!$A$5:$A$100,0)),0))</f>
        <v/>
      </c>
      <c r="H251" s="78">
        <f>IF(OR($A251="",'Importar Reservas'!M243&lt;&gt;"Aprovado",$D251&lt;=0),"",MAX(0,IF($F251="Margem",$D251-$E251,$D251))*$G251)</f>
        <v/>
      </c>
    </row>
    <row r="252" ht="15" customHeight="1" s="79">
      <c r="A252" s="78">
        <f>IF('Importar Reservas'!A244="","",'Importar Reservas'!A244)</f>
        <v/>
      </c>
      <c r="B252" s="78">
        <f>IF($A252="","",'Importar Reservas'!B244)</f>
        <v/>
      </c>
      <c r="C252" s="78">
        <f>IF($A252="","",'Importar Reservas'!Z244)</f>
        <v/>
      </c>
      <c r="D252" s="78">
        <f>IF($A252="","",IF('Importar Reservas'!O244="",0,'Importar Reservas'!O244))</f>
        <v/>
      </c>
      <c r="E252" s="78">
        <f>IF($A252="","",IF('Importar Reservas'!N244="",0,'Importar Reservas'!N244))</f>
        <v/>
      </c>
      <c r="F252" s="78">
        <f>IF($A252="","",IFERROR(INDEX(Configurações!$C$5:$C$100,MATCH($C252,Configurações!$A$5:$A$100,0)),"Margem"))</f>
        <v/>
      </c>
      <c r="G252" s="78">
        <f>IF($A252="","",IFERROR(INDEX(Configurações!$B$5:$B$100,MATCH($C252,Configurações!$A$5:$A$100,0)),0))</f>
        <v/>
      </c>
      <c r="H252" s="78">
        <f>IF(OR($A252="",'Importar Reservas'!M244&lt;&gt;"Aprovado",$D252&lt;=0),"",MAX(0,IF($F252="Margem",$D252-$E252,$D252))*$G252)</f>
        <v/>
      </c>
    </row>
    <row r="253" ht="15" customHeight="1" s="79">
      <c r="A253" s="78">
        <f>IF('Importar Reservas'!A245="","",'Importar Reservas'!A245)</f>
        <v/>
      </c>
      <c r="B253" s="78">
        <f>IF($A253="","",'Importar Reservas'!B245)</f>
        <v/>
      </c>
      <c r="C253" s="78">
        <f>IF($A253="","",'Importar Reservas'!Z245)</f>
        <v/>
      </c>
      <c r="D253" s="78">
        <f>IF($A253="","",IF('Importar Reservas'!O245="",0,'Importar Reservas'!O245))</f>
        <v/>
      </c>
      <c r="E253" s="78">
        <f>IF($A253="","",IF('Importar Reservas'!N245="",0,'Importar Reservas'!N245))</f>
        <v/>
      </c>
      <c r="F253" s="78">
        <f>IF($A253="","",IFERROR(INDEX(Configurações!$C$5:$C$100,MATCH($C253,Configurações!$A$5:$A$100,0)),"Margem"))</f>
        <v/>
      </c>
      <c r="G253" s="78">
        <f>IF($A253="","",IFERROR(INDEX(Configurações!$B$5:$B$100,MATCH($C253,Configurações!$A$5:$A$100,0)),0))</f>
        <v/>
      </c>
      <c r="H253" s="78">
        <f>IF(OR($A253="",'Importar Reservas'!M245&lt;&gt;"Aprovado",$D253&lt;=0),"",MAX(0,IF($F253="Margem",$D253-$E253,$D253))*$G253)</f>
        <v/>
      </c>
    </row>
    <row r="254" ht="15" customHeight="1" s="79">
      <c r="A254" s="78">
        <f>IF('Importar Reservas'!A246="","",'Importar Reservas'!A246)</f>
        <v/>
      </c>
      <c r="B254" s="78">
        <f>IF($A254="","",'Importar Reservas'!B246)</f>
        <v/>
      </c>
      <c r="C254" s="78">
        <f>IF($A254="","",'Importar Reservas'!Z246)</f>
        <v/>
      </c>
      <c r="D254" s="78">
        <f>IF($A254="","",IF('Importar Reservas'!O246="",0,'Importar Reservas'!O246))</f>
        <v/>
      </c>
      <c r="E254" s="78">
        <f>IF($A254="","",IF('Importar Reservas'!N246="",0,'Importar Reservas'!N246))</f>
        <v/>
      </c>
      <c r="F254" s="78">
        <f>IF($A254="","",IFERROR(INDEX(Configurações!$C$5:$C$100,MATCH($C254,Configurações!$A$5:$A$100,0)),"Margem"))</f>
        <v/>
      </c>
      <c r="G254" s="78">
        <f>IF($A254="","",IFERROR(INDEX(Configurações!$B$5:$B$100,MATCH($C254,Configurações!$A$5:$A$100,0)),0))</f>
        <v/>
      </c>
      <c r="H254" s="78">
        <f>IF(OR($A254="",'Importar Reservas'!M246&lt;&gt;"Aprovado",$D254&lt;=0),"",MAX(0,IF($F254="Margem",$D254-$E254,$D254))*$G254)</f>
        <v/>
      </c>
    </row>
    <row r="255" ht="15" customHeight="1" s="79">
      <c r="A255" s="78">
        <f>IF('Importar Reservas'!A247="","",'Importar Reservas'!A247)</f>
        <v/>
      </c>
      <c r="B255" s="78">
        <f>IF($A255="","",'Importar Reservas'!B247)</f>
        <v/>
      </c>
      <c r="C255" s="78">
        <f>IF($A255="","",'Importar Reservas'!Z247)</f>
        <v/>
      </c>
      <c r="D255" s="78">
        <f>IF($A255="","",IF('Importar Reservas'!O247="",0,'Importar Reservas'!O247))</f>
        <v/>
      </c>
      <c r="E255" s="78">
        <f>IF($A255="","",IF('Importar Reservas'!N247="",0,'Importar Reservas'!N247))</f>
        <v/>
      </c>
      <c r="F255" s="78">
        <f>IF($A255="","",IFERROR(INDEX(Configurações!$C$5:$C$100,MATCH($C255,Configurações!$A$5:$A$100,0)),"Margem"))</f>
        <v/>
      </c>
      <c r="G255" s="78">
        <f>IF($A255="","",IFERROR(INDEX(Configurações!$B$5:$B$100,MATCH($C255,Configurações!$A$5:$A$100,0)),0))</f>
        <v/>
      </c>
      <c r="H255" s="78">
        <f>IF(OR($A255="",'Importar Reservas'!M247&lt;&gt;"Aprovado",$D255&lt;=0),"",MAX(0,IF($F255="Margem",$D255-$E255,$D255))*$G255)</f>
        <v/>
      </c>
    </row>
    <row r="256" ht="15" customHeight="1" s="79">
      <c r="A256" s="78">
        <f>IF('Importar Reservas'!A248="","",'Importar Reservas'!A248)</f>
        <v/>
      </c>
      <c r="B256" s="78">
        <f>IF($A256="","",'Importar Reservas'!B248)</f>
        <v/>
      </c>
      <c r="C256" s="78">
        <f>IF($A256="","",'Importar Reservas'!Z248)</f>
        <v/>
      </c>
      <c r="D256" s="78">
        <f>IF($A256="","",IF('Importar Reservas'!O248="",0,'Importar Reservas'!O248))</f>
        <v/>
      </c>
      <c r="E256" s="78">
        <f>IF($A256="","",IF('Importar Reservas'!N248="",0,'Importar Reservas'!N248))</f>
        <v/>
      </c>
      <c r="F256" s="78">
        <f>IF($A256="","",IFERROR(INDEX(Configurações!$C$5:$C$100,MATCH($C256,Configurações!$A$5:$A$100,0)),"Margem"))</f>
        <v/>
      </c>
      <c r="G256" s="78">
        <f>IF($A256="","",IFERROR(INDEX(Configurações!$B$5:$B$100,MATCH($C256,Configurações!$A$5:$A$100,0)),0))</f>
        <v/>
      </c>
      <c r="H256" s="78">
        <f>IF(OR($A256="",'Importar Reservas'!M248&lt;&gt;"Aprovado",$D256&lt;=0),"",MAX(0,IF($F256="Margem",$D256-$E256,$D256))*$G256)</f>
        <v/>
      </c>
    </row>
    <row r="257" ht="15" customHeight="1" s="79">
      <c r="A257" s="78">
        <f>IF('Importar Reservas'!A249="","",'Importar Reservas'!A249)</f>
        <v/>
      </c>
      <c r="B257" s="78">
        <f>IF($A257="","",'Importar Reservas'!B249)</f>
        <v/>
      </c>
      <c r="C257" s="78">
        <f>IF($A257="","",'Importar Reservas'!Z249)</f>
        <v/>
      </c>
      <c r="D257" s="78">
        <f>IF($A257="","",IF('Importar Reservas'!O249="",0,'Importar Reservas'!O249))</f>
        <v/>
      </c>
      <c r="E257" s="78">
        <f>IF($A257="","",IF('Importar Reservas'!N249="",0,'Importar Reservas'!N249))</f>
        <v/>
      </c>
      <c r="F257" s="78">
        <f>IF($A257="","",IFERROR(INDEX(Configurações!$C$5:$C$100,MATCH($C257,Configurações!$A$5:$A$100,0)),"Margem"))</f>
        <v/>
      </c>
      <c r="G257" s="78">
        <f>IF($A257="","",IFERROR(INDEX(Configurações!$B$5:$B$100,MATCH($C257,Configurações!$A$5:$A$100,0)),0))</f>
        <v/>
      </c>
      <c r="H257" s="78">
        <f>IF(OR($A257="",'Importar Reservas'!M249&lt;&gt;"Aprovado",$D257&lt;=0),"",MAX(0,IF($F257="Margem",$D257-$E257,$D257))*$G257)</f>
        <v/>
      </c>
    </row>
    <row r="258" ht="15" customHeight="1" s="79">
      <c r="A258" s="78">
        <f>IF('Importar Reservas'!A250="","",'Importar Reservas'!A250)</f>
        <v/>
      </c>
      <c r="B258" s="78">
        <f>IF($A258="","",'Importar Reservas'!B250)</f>
        <v/>
      </c>
      <c r="C258" s="78">
        <f>IF($A258="","",'Importar Reservas'!Z250)</f>
        <v/>
      </c>
      <c r="D258" s="78">
        <f>IF($A258="","",IF('Importar Reservas'!O250="",0,'Importar Reservas'!O250))</f>
        <v/>
      </c>
      <c r="E258" s="78">
        <f>IF($A258="","",IF('Importar Reservas'!N250="",0,'Importar Reservas'!N250))</f>
        <v/>
      </c>
      <c r="F258" s="78">
        <f>IF($A258="","",IFERROR(INDEX(Configurações!$C$5:$C$100,MATCH($C258,Configurações!$A$5:$A$100,0)),"Margem"))</f>
        <v/>
      </c>
      <c r="G258" s="78">
        <f>IF($A258="","",IFERROR(INDEX(Configurações!$B$5:$B$100,MATCH($C258,Configurações!$A$5:$A$100,0)),0))</f>
        <v/>
      </c>
      <c r="H258" s="78">
        <f>IF(OR($A258="",'Importar Reservas'!M250&lt;&gt;"Aprovado",$D258&lt;=0),"",MAX(0,IF($F258="Margem",$D258-$E258,$D258))*$G258)</f>
        <v/>
      </c>
    </row>
    <row r="259" ht="15" customHeight="1" s="79">
      <c r="A259" s="78">
        <f>IF('Importar Reservas'!A251="","",'Importar Reservas'!A251)</f>
        <v/>
      </c>
      <c r="B259" s="78">
        <f>IF($A259="","",'Importar Reservas'!B251)</f>
        <v/>
      </c>
      <c r="C259" s="78">
        <f>IF($A259="","",'Importar Reservas'!Z251)</f>
        <v/>
      </c>
      <c r="D259" s="78">
        <f>IF($A259="","",IF('Importar Reservas'!O251="",0,'Importar Reservas'!O251))</f>
        <v/>
      </c>
      <c r="E259" s="78">
        <f>IF($A259="","",IF('Importar Reservas'!N251="",0,'Importar Reservas'!N251))</f>
        <v/>
      </c>
      <c r="F259" s="78">
        <f>IF($A259="","",IFERROR(INDEX(Configurações!$C$5:$C$100,MATCH($C259,Configurações!$A$5:$A$100,0)),"Margem"))</f>
        <v/>
      </c>
      <c r="G259" s="78">
        <f>IF($A259="","",IFERROR(INDEX(Configurações!$B$5:$B$100,MATCH($C259,Configurações!$A$5:$A$100,0)),0))</f>
        <v/>
      </c>
      <c r="H259" s="78">
        <f>IF(OR($A259="",'Importar Reservas'!M251&lt;&gt;"Aprovado",$D259&lt;=0),"",MAX(0,IF($F259="Margem",$D259-$E259,$D259))*$G259)</f>
        <v/>
      </c>
    </row>
    <row r="260" ht="15" customHeight="1" s="79">
      <c r="A260" s="78">
        <f>IF('Importar Reservas'!A252="","",'Importar Reservas'!A252)</f>
        <v/>
      </c>
      <c r="B260" s="78">
        <f>IF($A260="","",'Importar Reservas'!B252)</f>
        <v/>
      </c>
      <c r="C260" s="78">
        <f>IF($A260="","",'Importar Reservas'!Z252)</f>
        <v/>
      </c>
      <c r="D260" s="78">
        <f>IF($A260="","",IF('Importar Reservas'!O252="",0,'Importar Reservas'!O252))</f>
        <v/>
      </c>
      <c r="E260" s="78">
        <f>IF($A260="","",IF('Importar Reservas'!N252="",0,'Importar Reservas'!N252))</f>
        <v/>
      </c>
      <c r="F260" s="78">
        <f>IF($A260="","",IFERROR(INDEX(Configurações!$C$5:$C$100,MATCH($C260,Configurações!$A$5:$A$100,0)),"Margem"))</f>
        <v/>
      </c>
      <c r="G260" s="78">
        <f>IF($A260="","",IFERROR(INDEX(Configurações!$B$5:$B$100,MATCH($C260,Configurações!$A$5:$A$100,0)),0))</f>
        <v/>
      </c>
      <c r="H260" s="78">
        <f>IF(OR($A260="",'Importar Reservas'!M252&lt;&gt;"Aprovado",$D260&lt;=0),"",MAX(0,IF($F260="Margem",$D260-$E260,$D260))*$G260)</f>
        <v/>
      </c>
    </row>
    <row r="261" ht="15" customHeight="1" s="79">
      <c r="A261" s="78">
        <f>IF('Importar Reservas'!A253="","",'Importar Reservas'!A253)</f>
        <v/>
      </c>
      <c r="B261" s="78">
        <f>IF($A261="","",'Importar Reservas'!B253)</f>
        <v/>
      </c>
      <c r="C261" s="78">
        <f>IF($A261="","",'Importar Reservas'!Z253)</f>
        <v/>
      </c>
      <c r="D261" s="78">
        <f>IF($A261="","",IF('Importar Reservas'!O253="",0,'Importar Reservas'!O253))</f>
        <v/>
      </c>
      <c r="E261" s="78">
        <f>IF($A261="","",IF('Importar Reservas'!N253="",0,'Importar Reservas'!N253))</f>
        <v/>
      </c>
      <c r="F261" s="78">
        <f>IF($A261="","",IFERROR(INDEX(Configurações!$C$5:$C$100,MATCH($C261,Configurações!$A$5:$A$100,0)),"Margem"))</f>
        <v/>
      </c>
      <c r="G261" s="78">
        <f>IF($A261="","",IFERROR(INDEX(Configurações!$B$5:$B$100,MATCH($C261,Configurações!$A$5:$A$100,0)),0))</f>
        <v/>
      </c>
      <c r="H261" s="78">
        <f>IF(OR($A261="",'Importar Reservas'!M253&lt;&gt;"Aprovado",$D261&lt;=0),"",MAX(0,IF($F261="Margem",$D261-$E261,$D261))*$G261)</f>
        <v/>
      </c>
    </row>
    <row r="262" ht="15" customHeight="1" s="79">
      <c r="A262" s="78">
        <f>IF('Importar Reservas'!A254="","",'Importar Reservas'!A254)</f>
        <v/>
      </c>
      <c r="B262" s="78">
        <f>IF($A262="","",'Importar Reservas'!B254)</f>
        <v/>
      </c>
      <c r="C262" s="78">
        <f>IF($A262="","",'Importar Reservas'!Z254)</f>
        <v/>
      </c>
      <c r="D262" s="78">
        <f>IF($A262="","",IF('Importar Reservas'!O254="",0,'Importar Reservas'!O254))</f>
        <v/>
      </c>
      <c r="E262" s="78">
        <f>IF($A262="","",IF('Importar Reservas'!N254="",0,'Importar Reservas'!N254))</f>
        <v/>
      </c>
      <c r="F262" s="78">
        <f>IF($A262="","",IFERROR(INDEX(Configurações!$C$5:$C$100,MATCH($C262,Configurações!$A$5:$A$100,0)),"Margem"))</f>
        <v/>
      </c>
      <c r="G262" s="78">
        <f>IF($A262="","",IFERROR(INDEX(Configurações!$B$5:$B$100,MATCH($C262,Configurações!$A$5:$A$100,0)),0))</f>
        <v/>
      </c>
      <c r="H262" s="78">
        <f>IF(OR($A262="",'Importar Reservas'!M254&lt;&gt;"Aprovado",$D262&lt;=0),"",MAX(0,IF($F262="Margem",$D262-$E262,$D262))*$G262)</f>
        <v/>
      </c>
    </row>
    <row r="263" ht="15" customHeight="1" s="79">
      <c r="A263" s="78">
        <f>IF('Importar Reservas'!A255="","",'Importar Reservas'!A255)</f>
        <v/>
      </c>
      <c r="B263" s="78">
        <f>IF($A263="","",'Importar Reservas'!B255)</f>
        <v/>
      </c>
      <c r="C263" s="78">
        <f>IF($A263="","",'Importar Reservas'!Z255)</f>
        <v/>
      </c>
      <c r="D263" s="78">
        <f>IF($A263="","",IF('Importar Reservas'!O255="",0,'Importar Reservas'!O255))</f>
        <v/>
      </c>
      <c r="E263" s="78">
        <f>IF($A263="","",IF('Importar Reservas'!N255="",0,'Importar Reservas'!N255))</f>
        <v/>
      </c>
      <c r="F263" s="78">
        <f>IF($A263="","",IFERROR(INDEX(Configurações!$C$5:$C$100,MATCH($C263,Configurações!$A$5:$A$100,0)),"Margem"))</f>
        <v/>
      </c>
      <c r="G263" s="78">
        <f>IF($A263="","",IFERROR(INDEX(Configurações!$B$5:$B$100,MATCH($C263,Configurações!$A$5:$A$100,0)),0))</f>
        <v/>
      </c>
      <c r="H263" s="78">
        <f>IF(OR($A263="",'Importar Reservas'!M255&lt;&gt;"Aprovado",$D263&lt;=0),"",MAX(0,IF($F263="Margem",$D263-$E263,$D263))*$G263)</f>
        <v/>
      </c>
    </row>
    <row r="264" ht="15" customHeight="1" s="79">
      <c r="A264" s="78">
        <f>IF('Importar Reservas'!A256="","",'Importar Reservas'!A256)</f>
        <v/>
      </c>
      <c r="B264" s="78">
        <f>IF($A264="","",'Importar Reservas'!B256)</f>
        <v/>
      </c>
      <c r="C264" s="78">
        <f>IF($A264="","",'Importar Reservas'!Z256)</f>
        <v/>
      </c>
      <c r="D264" s="78">
        <f>IF($A264="","",IF('Importar Reservas'!O256="",0,'Importar Reservas'!O256))</f>
        <v/>
      </c>
      <c r="E264" s="78">
        <f>IF($A264="","",IF('Importar Reservas'!N256="",0,'Importar Reservas'!N256))</f>
        <v/>
      </c>
      <c r="F264" s="78">
        <f>IF($A264="","",IFERROR(INDEX(Configurações!$C$5:$C$100,MATCH($C264,Configurações!$A$5:$A$100,0)),"Margem"))</f>
        <v/>
      </c>
      <c r="G264" s="78">
        <f>IF($A264="","",IFERROR(INDEX(Configurações!$B$5:$B$100,MATCH($C264,Configurações!$A$5:$A$100,0)),0))</f>
        <v/>
      </c>
      <c r="H264" s="78">
        <f>IF(OR($A264="",'Importar Reservas'!M256&lt;&gt;"Aprovado",$D264&lt;=0),"",MAX(0,IF($F264="Margem",$D264-$E264,$D264))*$G264)</f>
        <v/>
      </c>
    </row>
    <row r="265" ht="15" customHeight="1" s="79">
      <c r="A265" s="78">
        <f>IF('Importar Reservas'!A257="","",'Importar Reservas'!A257)</f>
        <v/>
      </c>
      <c r="B265" s="78">
        <f>IF($A265="","",'Importar Reservas'!B257)</f>
        <v/>
      </c>
      <c r="C265" s="78">
        <f>IF($A265="","",'Importar Reservas'!Z257)</f>
        <v/>
      </c>
      <c r="D265" s="78">
        <f>IF($A265="","",IF('Importar Reservas'!O257="",0,'Importar Reservas'!O257))</f>
        <v/>
      </c>
      <c r="E265" s="78">
        <f>IF($A265="","",IF('Importar Reservas'!N257="",0,'Importar Reservas'!N257))</f>
        <v/>
      </c>
      <c r="F265" s="78">
        <f>IF($A265="","",IFERROR(INDEX(Configurações!$C$5:$C$100,MATCH($C265,Configurações!$A$5:$A$100,0)),"Margem"))</f>
        <v/>
      </c>
      <c r="G265" s="78">
        <f>IF($A265="","",IFERROR(INDEX(Configurações!$B$5:$B$100,MATCH($C265,Configurações!$A$5:$A$100,0)),0))</f>
        <v/>
      </c>
      <c r="H265" s="78">
        <f>IF(OR($A265="",'Importar Reservas'!M257&lt;&gt;"Aprovado",$D265&lt;=0),"",MAX(0,IF($F265="Margem",$D265-$E265,$D265))*$G265)</f>
        <v/>
      </c>
    </row>
    <row r="266" ht="15" customHeight="1" s="79">
      <c r="A266" s="78">
        <f>IF('Importar Reservas'!A258="","",'Importar Reservas'!A258)</f>
        <v/>
      </c>
      <c r="B266" s="78">
        <f>IF($A266="","",'Importar Reservas'!B258)</f>
        <v/>
      </c>
      <c r="C266" s="78">
        <f>IF($A266="","",'Importar Reservas'!Z258)</f>
        <v/>
      </c>
      <c r="D266" s="78">
        <f>IF($A266="","",IF('Importar Reservas'!O258="",0,'Importar Reservas'!O258))</f>
        <v/>
      </c>
      <c r="E266" s="78">
        <f>IF($A266="","",IF('Importar Reservas'!N258="",0,'Importar Reservas'!N258))</f>
        <v/>
      </c>
      <c r="F266" s="78">
        <f>IF($A266="","",IFERROR(INDEX(Configurações!$C$5:$C$100,MATCH($C266,Configurações!$A$5:$A$100,0)),"Margem"))</f>
        <v/>
      </c>
      <c r="G266" s="78">
        <f>IF($A266="","",IFERROR(INDEX(Configurações!$B$5:$B$100,MATCH($C266,Configurações!$A$5:$A$100,0)),0))</f>
        <v/>
      </c>
      <c r="H266" s="78">
        <f>IF(OR($A266="",'Importar Reservas'!M258&lt;&gt;"Aprovado",$D266&lt;=0),"",MAX(0,IF($F266="Margem",$D266-$E266,$D266))*$G266)</f>
        <v/>
      </c>
    </row>
    <row r="267" ht="15" customHeight="1" s="79">
      <c r="A267" s="78">
        <f>IF('Importar Reservas'!A259="","",'Importar Reservas'!A259)</f>
        <v/>
      </c>
      <c r="B267" s="78">
        <f>IF($A267="","",'Importar Reservas'!B259)</f>
        <v/>
      </c>
      <c r="C267" s="78">
        <f>IF($A267="","",'Importar Reservas'!Z259)</f>
        <v/>
      </c>
      <c r="D267" s="78">
        <f>IF($A267="","",IF('Importar Reservas'!O259="",0,'Importar Reservas'!O259))</f>
        <v/>
      </c>
      <c r="E267" s="78">
        <f>IF($A267="","",IF('Importar Reservas'!N259="",0,'Importar Reservas'!N259))</f>
        <v/>
      </c>
      <c r="F267" s="78">
        <f>IF($A267="","",IFERROR(INDEX(Configurações!$C$5:$C$100,MATCH($C267,Configurações!$A$5:$A$100,0)),"Margem"))</f>
        <v/>
      </c>
      <c r="G267" s="78">
        <f>IF($A267="","",IFERROR(INDEX(Configurações!$B$5:$B$100,MATCH($C267,Configurações!$A$5:$A$100,0)),0))</f>
        <v/>
      </c>
      <c r="H267" s="78">
        <f>IF(OR($A267="",'Importar Reservas'!M259&lt;&gt;"Aprovado",$D267&lt;=0),"",MAX(0,IF($F267="Margem",$D267-$E267,$D267))*$G267)</f>
        <v/>
      </c>
    </row>
    <row r="268" ht="15" customHeight="1" s="79">
      <c r="A268" s="78">
        <f>IF('Importar Reservas'!A260="","",'Importar Reservas'!A260)</f>
        <v/>
      </c>
      <c r="B268" s="78">
        <f>IF($A268="","",'Importar Reservas'!B260)</f>
        <v/>
      </c>
      <c r="C268" s="78">
        <f>IF($A268="","",'Importar Reservas'!Z260)</f>
        <v/>
      </c>
      <c r="D268" s="78">
        <f>IF($A268="","",IF('Importar Reservas'!O260="",0,'Importar Reservas'!O260))</f>
        <v/>
      </c>
      <c r="E268" s="78">
        <f>IF($A268="","",IF('Importar Reservas'!N260="",0,'Importar Reservas'!N260))</f>
        <v/>
      </c>
      <c r="F268" s="78">
        <f>IF($A268="","",IFERROR(INDEX(Configurações!$C$5:$C$100,MATCH($C268,Configurações!$A$5:$A$100,0)),"Margem"))</f>
        <v/>
      </c>
      <c r="G268" s="78">
        <f>IF($A268="","",IFERROR(INDEX(Configurações!$B$5:$B$100,MATCH($C268,Configurações!$A$5:$A$100,0)),0))</f>
        <v/>
      </c>
      <c r="H268" s="78">
        <f>IF(OR($A268="",'Importar Reservas'!M260&lt;&gt;"Aprovado",$D268&lt;=0),"",MAX(0,IF($F268="Margem",$D268-$E268,$D268))*$G268)</f>
        <v/>
      </c>
    </row>
    <row r="269" ht="15" customHeight="1" s="79">
      <c r="A269" s="78">
        <f>IF('Importar Reservas'!A261="","",'Importar Reservas'!A261)</f>
        <v/>
      </c>
      <c r="B269" s="78">
        <f>IF($A269="","",'Importar Reservas'!B261)</f>
        <v/>
      </c>
      <c r="C269" s="78">
        <f>IF($A269="","",'Importar Reservas'!Z261)</f>
        <v/>
      </c>
      <c r="D269" s="78">
        <f>IF($A269="","",IF('Importar Reservas'!O261="",0,'Importar Reservas'!O261))</f>
        <v/>
      </c>
      <c r="E269" s="78">
        <f>IF($A269="","",IF('Importar Reservas'!N261="",0,'Importar Reservas'!N261))</f>
        <v/>
      </c>
      <c r="F269" s="78">
        <f>IF($A269="","",IFERROR(INDEX(Configurações!$C$5:$C$100,MATCH($C269,Configurações!$A$5:$A$100,0)),"Margem"))</f>
        <v/>
      </c>
      <c r="G269" s="78">
        <f>IF($A269="","",IFERROR(INDEX(Configurações!$B$5:$B$100,MATCH($C269,Configurações!$A$5:$A$100,0)),0))</f>
        <v/>
      </c>
      <c r="H269" s="78">
        <f>IF(OR($A269="",'Importar Reservas'!M261&lt;&gt;"Aprovado",$D269&lt;=0),"",MAX(0,IF($F269="Margem",$D269-$E269,$D269))*$G269)</f>
        <v/>
      </c>
    </row>
    <row r="270" ht="15" customHeight="1" s="79">
      <c r="A270" s="78">
        <f>IF('Importar Reservas'!A262="","",'Importar Reservas'!A262)</f>
        <v/>
      </c>
      <c r="B270" s="78">
        <f>IF($A270="","",'Importar Reservas'!B262)</f>
        <v/>
      </c>
      <c r="C270" s="78">
        <f>IF($A270="","",'Importar Reservas'!Z262)</f>
        <v/>
      </c>
      <c r="D270" s="78">
        <f>IF($A270="","",IF('Importar Reservas'!O262="",0,'Importar Reservas'!O262))</f>
        <v/>
      </c>
      <c r="E270" s="78">
        <f>IF($A270="","",IF('Importar Reservas'!N262="",0,'Importar Reservas'!N262))</f>
        <v/>
      </c>
      <c r="F270" s="78">
        <f>IF($A270="","",IFERROR(INDEX(Configurações!$C$5:$C$100,MATCH($C270,Configurações!$A$5:$A$100,0)),"Margem"))</f>
        <v/>
      </c>
      <c r="G270" s="78">
        <f>IF($A270="","",IFERROR(INDEX(Configurações!$B$5:$B$100,MATCH($C270,Configurações!$A$5:$A$100,0)),0))</f>
        <v/>
      </c>
      <c r="H270" s="78">
        <f>IF(OR($A270="",'Importar Reservas'!M262&lt;&gt;"Aprovado",$D270&lt;=0),"",MAX(0,IF($F270="Margem",$D270-$E270,$D270))*$G270)</f>
        <v/>
      </c>
    </row>
    <row r="271" ht="15" customHeight="1" s="79">
      <c r="A271" s="78">
        <f>IF('Importar Reservas'!A263="","",'Importar Reservas'!A263)</f>
        <v/>
      </c>
      <c r="B271" s="78">
        <f>IF($A271="","",'Importar Reservas'!B263)</f>
        <v/>
      </c>
      <c r="C271" s="78">
        <f>IF($A271="","",'Importar Reservas'!Z263)</f>
        <v/>
      </c>
      <c r="D271" s="78">
        <f>IF($A271="","",IF('Importar Reservas'!O263="",0,'Importar Reservas'!O263))</f>
        <v/>
      </c>
      <c r="E271" s="78">
        <f>IF($A271="","",IF('Importar Reservas'!N263="",0,'Importar Reservas'!N263))</f>
        <v/>
      </c>
      <c r="F271" s="78">
        <f>IF($A271="","",IFERROR(INDEX(Configurações!$C$5:$C$100,MATCH($C271,Configurações!$A$5:$A$100,0)),"Margem"))</f>
        <v/>
      </c>
      <c r="G271" s="78">
        <f>IF($A271="","",IFERROR(INDEX(Configurações!$B$5:$B$100,MATCH($C271,Configurações!$A$5:$A$100,0)),0))</f>
        <v/>
      </c>
      <c r="H271" s="78">
        <f>IF(OR($A271="",'Importar Reservas'!M263&lt;&gt;"Aprovado",$D271&lt;=0),"",MAX(0,IF($F271="Margem",$D271-$E271,$D271))*$G271)</f>
        <v/>
      </c>
    </row>
    <row r="272" ht="15" customHeight="1" s="79">
      <c r="A272" s="78">
        <f>IF('Importar Reservas'!A264="","",'Importar Reservas'!A264)</f>
        <v/>
      </c>
      <c r="B272" s="78">
        <f>IF($A272="","",'Importar Reservas'!B264)</f>
        <v/>
      </c>
      <c r="C272" s="78">
        <f>IF($A272="","",'Importar Reservas'!Z264)</f>
        <v/>
      </c>
      <c r="D272" s="78">
        <f>IF($A272="","",IF('Importar Reservas'!O264="",0,'Importar Reservas'!O264))</f>
        <v/>
      </c>
      <c r="E272" s="78">
        <f>IF($A272="","",IF('Importar Reservas'!N264="",0,'Importar Reservas'!N264))</f>
        <v/>
      </c>
      <c r="F272" s="78">
        <f>IF($A272="","",IFERROR(INDEX(Configurações!$C$5:$C$100,MATCH($C272,Configurações!$A$5:$A$100,0)),"Margem"))</f>
        <v/>
      </c>
      <c r="G272" s="78">
        <f>IF($A272="","",IFERROR(INDEX(Configurações!$B$5:$B$100,MATCH($C272,Configurações!$A$5:$A$100,0)),0))</f>
        <v/>
      </c>
      <c r="H272" s="78">
        <f>IF(OR($A272="",'Importar Reservas'!M264&lt;&gt;"Aprovado",$D272&lt;=0),"",MAX(0,IF($F272="Margem",$D272-$E272,$D272))*$G272)</f>
        <v/>
      </c>
    </row>
    <row r="273" ht="15" customHeight="1" s="79">
      <c r="A273" s="78">
        <f>IF('Importar Reservas'!A265="","",'Importar Reservas'!A265)</f>
        <v/>
      </c>
      <c r="B273" s="78">
        <f>IF($A273="","",'Importar Reservas'!B265)</f>
        <v/>
      </c>
      <c r="C273" s="78">
        <f>IF($A273="","",'Importar Reservas'!Z265)</f>
        <v/>
      </c>
      <c r="D273" s="78">
        <f>IF($A273="","",IF('Importar Reservas'!O265="",0,'Importar Reservas'!O265))</f>
        <v/>
      </c>
      <c r="E273" s="78">
        <f>IF($A273="","",IF('Importar Reservas'!N265="",0,'Importar Reservas'!N265))</f>
        <v/>
      </c>
      <c r="F273" s="78">
        <f>IF($A273="","",IFERROR(INDEX(Configurações!$C$5:$C$100,MATCH($C273,Configurações!$A$5:$A$100,0)),"Margem"))</f>
        <v/>
      </c>
      <c r="G273" s="78">
        <f>IF($A273="","",IFERROR(INDEX(Configurações!$B$5:$B$100,MATCH($C273,Configurações!$A$5:$A$100,0)),0))</f>
        <v/>
      </c>
      <c r="H273" s="78">
        <f>IF(OR($A273="",'Importar Reservas'!M265&lt;&gt;"Aprovado",$D273&lt;=0),"",MAX(0,IF($F273="Margem",$D273-$E273,$D273))*$G273)</f>
        <v/>
      </c>
    </row>
    <row r="274" ht="15" customHeight="1" s="79">
      <c r="A274" s="78">
        <f>IF('Importar Reservas'!A266="","",'Importar Reservas'!A266)</f>
        <v/>
      </c>
      <c r="B274" s="78">
        <f>IF($A274="","",'Importar Reservas'!B266)</f>
        <v/>
      </c>
      <c r="C274" s="78">
        <f>IF($A274="","",'Importar Reservas'!Z266)</f>
        <v/>
      </c>
      <c r="D274" s="78">
        <f>IF($A274="","",IF('Importar Reservas'!O266="",0,'Importar Reservas'!O266))</f>
        <v/>
      </c>
      <c r="E274" s="78">
        <f>IF($A274="","",IF('Importar Reservas'!N266="",0,'Importar Reservas'!N266))</f>
        <v/>
      </c>
      <c r="F274" s="78">
        <f>IF($A274="","",IFERROR(INDEX(Configurações!$C$5:$C$100,MATCH($C274,Configurações!$A$5:$A$100,0)),"Margem"))</f>
        <v/>
      </c>
      <c r="G274" s="78">
        <f>IF($A274="","",IFERROR(INDEX(Configurações!$B$5:$B$100,MATCH($C274,Configurações!$A$5:$A$100,0)),0))</f>
        <v/>
      </c>
      <c r="H274" s="78">
        <f>IF(OR($A274="",'Importar Reservas'!M266&lt;&gt;"Aprovado",$D274&lt;=0),"",MAX(0,IF($F274="Margem",$D274-$E274,$D274))*$G274)</f>
        <v/>
      </c>
    </row>
    <row r="275" ht="15" customHeight="1" s="79">
      <c r="A275" s="78">
        <f>IF('Importar Reservas'!A267="","",'Importar Reservas'!A267)</f>
        <v/>
      </c>
      <c r="B275" s="78">
        <f>IF($A275="","",'Importar Reservas'!B267)</f>
        <v/>
      </c>
      <c r="C275" s="78">
        <f>IF($A275="","",'Importar Reservas'!Z267)</f>
        <v/>
      </c>
      <c r="D275" s="78">
        <f>IF($A275="","",IF('Importar Reservas'!O267="",0,'Importar Reservas'!O267))</f>
        <v/>
      </c>
      <c r="E275" s="78">
        <f>IF($A275="","",IF('Importar Reservas'!N267="",0,'Importar Reservas'!N267))</f>
        <v/>
      </c>
      <c r="F275" s="78">
        <f>IF($A275="","",IFERROR(INDEX(Configurações!$C$5:$C$100,MATCH($C275,Configurações!$A$5:$A$100,0)),"Margem"))</f>
        <v/>
      </c>
      <c r="G275" s="78">
        <f>IF($A275="","",IFERROR(INDEX(Configurações!$B$5:$B$100,MATCH($C275,Configurações!$A$5:$A$100,0)),0))</f>
        <v/>
      </c>
      <c r="H275" s="78">
        <f>IF(OR($A275="",'Importar Reservas'!M267&lt;&gt;"Aprovado",$D275&lt;=0),"",MAX(0,IF($F275="Margem",$D275-$E275,$D275))*$G275)</f>
        <v/>
      </c>
    </row>
    <row r="276" ht="15" customHeight="1" s="79">
      <c r="A276" s="78">
        <f>IF('Importar Reservas'!A268="","",'Importar Reservas'!A268)</f>
        <v/>
      </c>
      <c r="B276" s="78">
        <f>IF($A276="","",'Importar Reservas'!B268)</f>
        <v/>
      </c>
      <c r="C276" s="78">
        <f>IF($A276="","",'Importar Reservas'!Z268)</f>
        <v/>
      </c>
      <c r="D276" s="78">
        <f>IF($A276="","",IF('Importar Reservas'!O268="",0,'Importar Reservas'!O268))</f>
        <v/>
      </c>
      <c r="E276" s="78">
        <f>IF($A276="","",IF('Importar Reservas'!N268="",0,'Importar Reservas'!N268))</f>
        <v/>
      </c>
      <c r="F276" s="78">
        <f>IF($A276="","",IFERROR(INDEX(Configurações!$C$5:$C$100,MATCH($C276,Configurações!$A$5:$A$100,0)),"Margem"))</f>
        <v/>
      </c>
      <c r="G276" s="78">
        <f>IF($A276="","",IFERROR(INDEX(Configurações!$B$5:$B$100,MATCH($C276,Configurações!$A$5:$A$100,0)),0))</f>
        <v/>
      </c>
      <c r="H276" s="78">
        <f>IF(OR($A276="",'Importar Reservas'!M268&lt;&gt;"Aprovado",$D276&lt;=0),"",MAX(0,IF($F276="Margem",$D276-$E276,$D276))*$G276)</f>
        <v/>
      </c>
    </row>
    <row r="277" ht="15" customHeight="1" s="79">
      <c r="A277" s="78">
        <f>IF('Importar Reservas'!A269="","",'Importar Reservas'!A269)</f>
        <v/>
      </c>
      <c r="B277" s="78">
        <f>IF($A277="","",'Importar Reservas'!B269)</f>
        <v/>
      </c>
      <c r="C277" s="78">
        <f>IF($A277="","",'Importar Reservas'!Z269)</f>
        <v/>
      </c>
      <c r="D277" s="78">
        <f>IF($A277="","",IF('Importar Reservas'!O269="",0,'Importar Reservas'!O269))</f>
        <v/>
      </c>
      <c r="E277" s="78">
        <f>IF($A277="","",IF('Importar Reservas'!N269="",0,'Importar Reservas'!N269))</f>
        <v/>
      </c>
      <c r="F277" s="78">
        <f>IF($A277="","",IFERROR(INDEX(Configurações!$C$5:$C$100,MATCH($C277,Configurações!$A$5:$A$100,0)),"Margem"))</f>
        <v/>
      </c>
      <c r="G277" s="78">
        <f>IF($A277="","",IFERROR(INDEX(Configurações!$B$5:$B$100,MATCH($C277,Configurações!$A$5:$A$100,0)),0))</f>
        <v/>
      </c>
      <c r="H277" s="78">
        <f>IF(OR($A277="",'Importar Reservas'!M269&lt;&gt;"Aprovado",$D277&lt;=0),"",MAX(0,IF($F277="Margem",$D277-$E277,$D277))*$G277)</f>
        <v/>
      </c>
    </row>
    <row r="278" ht="15" customHeight="1" s="79">
      <c r="A278" s="78">
        <f>IF('Importar Reservas'!A270="","",'Importar Reservas'!A270)</f>
        <v/>
      </c>
      <c r="B278" s="78">
        <f>IF($A278="","",'Importar Reservas'!B270)</f>
        <v/>
      </c>
      <c r="C278" s="78">
        <f>IF($A278="","",'Importar Reservas'!Z270)</f>
        <v/>
      </c>
      <c r="D278" s="78">
        <f>IF($A278="","",IF('Importar Reservas'!O270="",0,'Importar Reservas'!O270))</f>
        <v/>
      </c>
      <c r="E278" s="78">
        <f>IF($A278="","",IF('Importar Reservas'!N270="",0,'Importar Reservas'!N270))</f>
        <v/>
      </c>
      <c r="F278" s="78">
        <f>IF($A278="","",IFERROR(INDEX(Configurações!$C$5:$C$100,MATCH($C278,Configurações!$A$5:$A$100,0)),"Margem"))</f>
        <v/>
      </c>
      <c r="G278" s="78">
        <f>IF($A278="","",IFERROR(INDEX(Configurações!$B$5:$B$100,MATCH($C278,Configurações!$A$5:$A$100,0)),0))</f>
        <v/>
      </c>
      <c r="H278" s="78">
        <f>IF(OR($A278="",'Importar Reservas'!M270&lt;&gt;"Aprovado",$D278&lt;=0),"",MAX(0,IF($F278="Margem",$D278-$E278,$D278))*$G278)</f>
        <v/>
      </c>
    </row>
    <row r="279" ht="15" customHeight="1" s="79">
      <c r="A279" s="78">
        <f>IF('Importar Reservas'!A271="","",'Importar Reservas'!A271)</f>
        <v/>
      </c>
      <c r="B279" s="78">
        <f>IF($A279="","",'Importar Reservas'!B271)</f>
        <v/>
      </c>
      <c r="C279" s="78">
        <f>IF($A279="","",'Importar Reservas'!Z271)</f>
        <v/>
      </c>
      <c r="D279" s="78">
        <f>IF($A279="","",IF('Importar Reservas'!O271="",0,'Importar Reservas'!O271))</f>
        <v/>
      </c>
      <c r="E279" s="78">
        <f>IF($A279="","",IF('Importar Reservas'!N271="",0,'Importar Reservas'!N271))</f>
        <v/>
      </c>
      <c r="F279" s="78">
        <f>IF($A279="","",IFERROR(INDEX(Configurações!$C$5:$C$100,MATCH($C279,Configurações!$A$5:$A$100,0)),"Margem"))</f>
        <v/>
      </c>
      <c r="G279" s="78">
        <f>IF($A279="","",IFERROR(INDEX(Configurações!$B$5:$B$100,MATCH($C279,Configurações!$A$5:$A$100,0)),0))</f>
        <v/>
      </c>
      <c r="H279" s="78">
        <f>IF(OR($A279="",'Importar Reservas'!M271&lt;&gt;"Aprovado",$D279&lt;=0),"",MAX(0,IF($F279="Margem",$D279-$E279,$D279))*$G279)</f>
        <v/>
      </c>
    </row>
    <row r="280" ht="15" customHeight="1" s="79">
      <c r="A280" s="78">
        <f>IF('Importar Reservas'!A272="","",'Importar Reservas'!A272)</f>
        <v/>
      </c>
      <c r="B280" s="78">
        <f>IF($A280="","",'Importar Reservas'!B272)</f>
        <v/>
      </c>
      <c r="C280" s="78">
        <f>IF($A280="","",'Importar Reservas'!Z272)</f>
        <v/>
      </c>
      <c r="D280" s="78">
        <f>IF($A280="","",IF('Importar Reservas'!O272="",0,'Importar Reservas'!O272))</f>
        <v/>
      </c>
      <c r="E280" s="78">
        <f>IF($A280="","",IF('Importar Reservas'!N272="",0,'Importar Reservas'!N272))</f>
        <v/>
      </c>
      <c r="F280" s="78">
        <f>IF($A280="","",IFERROR(INDEX(Configurações!$C$5:$C$100,MATCH($C280,Configurações!$A$5:$A$100,0)),"Margem"))</f>
        <v/>
      </c>
      <c r="G280" s="78">
        <f>IF($A280="","",IFERROR(INDEX(Configurações!$B$5:$B$100,MATCH($C280,Configurações!$A$5:$A$100,0)),0))</f>
        <v/>
      </c>
      <c r="H280" s="78">
        <f>IF(OR($A280="",'Importar Reservas'!M272&lt;&gt;"Aprovado",$D280&lt;=0),"",MAX(0,IF($F280="Margem",$D280-$E280,$D280))*$G280)</f>
        <v/>
      </c>
    </row>
    <row r="281" ht="15" customHeight="1" s="79">
      <c r="A281" s="78">
        <f>IF('Importar Reservas'!A273="","",'Importar Reservas'!A273)</f>
        <v/>
      </c>
      <c r="B281" s="78">
        <f>IF($A281="","",'Importar Reservas'!B273)</f>
        <v/>
      </c>
      <c r="C281" s="78">
        <f>IF($A281="","",'Importar Reservas'!Z273)</f>
        <v/>
      </c>
      <c r="D281" s="78">
        <f>IF($A281="","",IF('Importar Reservas'!O273="",0,'Importar Reservas'!O273))</f>
        <v/>
      </c>
      <c r="E281" s="78">
        <f>IF($A281="","",IF('Importar Reservas'!N273="",0,'Importar Reservas'!N273))</f>
        <v/>
      </c>
      <c r="F281" s="78">
        <f>IF($A281="","",IFERROR(INDEX(Configurações!$C$5:$C$100,MATCH($C281,Configurações!$A$5:$A$100,0)),"Margem"))</f>
        <v/>
      </c>
      <c r="G281" s="78">
        <f>IF($A281="","",IFERROR(INDEX(Configurações!$B$5:$B$100,MATCH($C281,Configurações!$A$5:$A$100,0)),0))</f>
        <v/>
      </c>
      <c r="H281" s="78">
        <f>IF(OR($A281="",'Importar Reservas'!M273&lt;&gt;"Aprovado",$D281&lt;=0),"",MAX(0,IF($F281="Margem",$D281-$E281,$D281))*$G281)</f>
        <v/>
      </c>
    </row>
    <row r="282" ht="15" customHeight="1" s="79">
      <c r="A282" s="78">
        <f>IF('Importar Reservas'!A274="","",'Importar Reservas'!A274)</f>
        <v/>
      </c>
      <c r="B282" s="78">
        <f>IF($A282="","",'Importar Reservas'!B274)</f>
        <v/>
      </c>
      <c r="C282" s="78">
        <f>IF($A282="","",'Importar Reservas'!Z274)</f>
        <v/>
      </c>
      <c r="D282" s="78">
        <f>IF($A282="","",IF('Importar Reservas'!O274="",0,'Importar Reservas'!O274))</f>
        <v/>
      </c>
      <c r="E282" s="78">
        <f>IF($A282="","",IF('Importar Reservas'!N274="",0,'Importar Reservas'!N274))</f>
        <v/>
      </c>
      <c r="F282" s="78">
        <f>IF($A282="","",IFERROR(INDEX(Configurações!$C$5:$C$100,MATCH($C282,Configurações!$A$5:$A$100,0)),"Margem"))</f>
        <v/>
      </c>
      <c r="G282" s="78">
        <f>IF($A282="","",IFERROR(INDEX(Configurações!$B$5:$B$100,MATCH($C282,Configurações!$A$5:$A$100,0)),0))</f>
        <v/>
      </c>
      <c r="H282" s="78">
        <f>IF(OR($A282="",'Importar Reservas'!M274&lt;&gt;"Aprovado",$D282&lt;=0),"",MAX(0,IF($F282="Margem",$D282-$E282,$D282))*$G282)</f>
        <v/>
      </c>
    </row>
    <row r="283" ht="15" customHeight="1" s="79">
      <c r="A283" s="78">
        <f>IF('Importar Reservas'!A275="","",'Importar Reservas'!A275)</f>
        <v/>
      </c>
      <c r="B283" s="78">
        <f>IF($A283="","",'Importar Reservas'!B275)</f>
        <v/>
      </c>
      <c r="C283" s="78">
        <f>IF($A283="","",'Importar Reservas'!Z275)</f>
        <v/>
      </c>
      <c r="D283" s="78">
        <f>IF($A283="","",IF('Importar Reservas'!O275="",0,'Importar Reservas'!O275))</f>
        <v/>
      </c>
      <c r="E283" s="78">
        <f>IF($A283="","",IF('Importar Reservas'!N275="",0,'Importar Reservas'!N275))</f>
        <v/>
      </c>
      <c r="F283" s="78">
        <f>IF($A283="","",IFERROR(INDEX(Configurações!$C$5:$C$100,MATCH($C283,Configurações!$A$5:$A$100,0)),"Margem"))</f>
        <v/>
      </c>
      <c r="G283" s="78">
        <f>IF($A283="","",IFERROR(INDEX(Configurações!$B$5:$B$100,MATCH($C283,Configurações!$A$5:$A$100,0)),0))</f>
        <v/>
      </c>
      <c r="H283" s="78">
        <f>IF(OR($A283="",'Importar Reservas'!M275&lt;&gt;"Aprovado",$D283&lt;=0),"",MAX(0,IF($F283="Margem",$D283-$E283,$D283))*$G283)</f>
        <v/>
      </c>
    </row>
    <row r="284" ht="15" customHeight="1" s="79">
      <c r="A284" s="78">
        <f>IF('Importar Reservas'!A276="","",'Importar Reservas'!A276)</f>
        <v/>
      </c>
      <c r="B284" s="78">
        <f>IF($A284="","",'Importar Reservas'!B276)</f>
        <v/>
      </c>
      <c r="C284" s="78">
        <f>IF($A284="","",'Importar Reservas'!Z276)</f>
        <v/>
      </c>
      <c r="D284" s="78">
        <f>IF($A284="","",IF('Importar Reservas'!O276="",0,'Importar Reservas'!O276))</f>
        <v/>
      </c>
      <c r="E284" s="78">
        <f>IF($A284="","",IF('Importar Reservas'!N276="",0,'Importar Reservas'!N276))</f>
        <v/>
      </c>
      <c r="F284" s="78">
        <f>IF($A284="","",IFERROR(INDEX(Configurações!$C$5:$C$100,MATCH($C284,Configurações!$A$5:$A$100,0)),"Margem"))</f>
        <v/>
      </c>
      <c r="G284" s="78">
        <f>IF($A284="","",IFERROR(INDEX(Configurações!$B$5:$B$100,MATCH($C284,Configurações!$A$5:$A$100,0)),0))</f>
        <v/>
      </c>
      <c r="H284" s="78">
        <f>IF(OR($A284="",'Importar Reservas'!M276&lt;&gt;"Aprovado",$D284&lt;=0),"",MAX(0,IF($F284="Margem",$D284-$E284,$D284))*$G284)</f>
        <v/>
      </c>
    </row>
    <row r="285" ht="15" customHeight="1" s="79">
      <c r="A285" s="78">
        <f>IF('Importar Reservas'!A277="","",'Importar Reservas'!A277)</f>
        <v/>
      </c>
      <c r="B285" s="78">
        <f>IF($A285="","",'Importar Reservas'!B277)</f>
        <v/>
      </c>
      <c r="C285" s="78">
        <f>IF($A285="","",'Importar Reservas'!Z277)</f>
        <v/>
      </c>
      <c r="D285" s="78">
        <f>IF($A285="","",IF('Importar Reservas'!O277="",0,'Importar Reservas'!O277))</f>
        <v/>
      </c>
      <c r="E285" s="78">
        <f>IF($A285="","",IF('Importar Reservas'!N277="",0,'Importar Reservas'!N277))</f>
        <v/>
      </c>
      <c r="F285" s="78">
        <f>IF($A285="","",IFERROR(INDEX(Configurações!$C$5:$C$100,MATCH($C285,Configurações!$A$5:$A$100,0)),"Margem"))</f>
        <v/>
      </c>
      <c r="G285" s="78">
        <f>IF($A285="","",IFERROR(INDEX(Configurações!$B$5:$B$100,MATCH($C285,Configurações!$A$5:$A$100,0)),0))</f>
        <v/>
      </c>
      <c r="H285" s="78">
        <f>IF(OR($A285="",'Importar Reservas'!M277&lt;&gt;"Aprovado",$D285&lt;=0),"",MAX(0,IF($F285="Margem",$D285-$E285,$D285))*$G285)</f>
        <v/>
      </c>
    </row>
    <row r="286" ht="15" customHeight="1" s="79">
      <c r="A286" s="78">
        <f>IF('Importar Reservas'!A278="","",'Importar Reservas'!A278)</f>
        <v/>
      </c>
      <c r="B286" s="78">
        <f>IF($A286="","",'Importar Reservas'!B278)</f>
        <v/>
      </c>
      <c r="C286" s="78">
        <f>IF($A286="","",'Importar Reservas'!Z278)</f>
        <v/>
      </c>
      <c r="D286" s="78">
        <f>IF($A286="","",IF('Importar Reservas'!O278="",0,'Importar Reservas'!O278))</f>
        <v/>
      </c>
      <c r="E286" s="78">
        <f>IF($A286="","",IF('Importar Reservas'!N278="",0,'Importar Reservas'!N278))</f>
        <v/>
      </c>
      <c r="F286" s="78">
        <f>IF($A286="","",IFERROR(INDEX(Configurações!$C$5:$C$100,MATCH($C286,Configurações!$A$5:$A$100,0)),"Margem"))</f>
        <v/>
      </c>
      <c r="G286" s="78">
        <f>IF($A286="","",IFERROR(INDEX(Configurações!$B$5:$B$100,MATCH($C286,Configurações!$A$5:$A$100,0)),0))</f>
        <v/>
      </c>
      <c r="H286" s="78">
        <f>IF(OR($A286="",'Importar Reservas'!M278&lt;&gt;"Aprovado",$D286&lt;=0),"",MAX(0,IF($F286="Margem",$D286-$E286,$D286))*$G286)</f>
        <v/>
      </c>
    </row>
    <row r="287" ht="15" customHeight="1" s="79">
      <c r="A287" s="78">
        <f>IF('Importar Reservas'!A279="","",'Importar Reservas'!A279)</f>
        <v/>
      </c>
      <c r="B287" s="78">
        <f>IF($A287="","",'Importar Reservas'!B279)</f>
        <v/>
      </c>
      <c r="C287" s="78">
        <f>IF($A287="","",'Importar Reservas'!Z279)</f>
        <v/>
      </c>
      <c r="D287" s="78">
        <f>IF($A287="","",IF('Importar Reservas'!O279="",0,'Importar Reservas'!O279))</f>
        <v/>
      </c>
      <c r="E287" s="78">
        <f>IF($A287="","",IF('Importar Reservas'!N279="",0,'Importar Reservas'!N279))</f>
        <v/>
      </c>
      <c r="F287" s="78">
        <f>IF($A287="","",IFERROR(INDEX(Configurações!$C$5:$C$100,MATCH($C287,Configurações!$A$5:$A$100,0)),"Margem"))</f>
        <v/>
      </c>
      <c r="G287" s="78">
        <f>IF($A287="","",IFERROR(INDEX(Configurações!$B$5:$B$100,MATCH($C287,Configurações!$A$5:$A$100,0)),0))</f>
        <v/>
      </c>
      <c r="H287" s="78">
        <f>IF(OR($A287="",'Importar Reservas'!M279&lt;&gt;"Aprovado",$D287&lt;=0),"",MAX(0,IF($F287="Margem",$D287-$E287,$D287))*$G287)</f>
        <v/>
      </c>
    </row>
    <row r="288" ht="15" customHeight="1" s="79">
      <c r="A288" s="78">
        <f>IF('Importar Reservas'!A280="","",'Importar Reservas'!A280)</f>
        <v/>
      </c>
      <c r="B288" s="78">
        <f>IF($A288="","",'Importar Reservas'!B280)</f>
        <v/>
      </c>
      <c r="C288" s="78">
        <f>IF($A288="","",'Importar Reservas'!Z280)</f>
        <v/>
      </c>
      <c r="D288" s="78">
        <f>IF($A288="","",IF('Importar Reservas'!O280="",0,'Importar Reservas'!O280))</f>
        <v/>
      </c>
      <c r="E288" s="78">
        <f>IF($A288="","",IF('Importar Reservas'!N280="",0,'Importar Reservas'!N280))</f>
        <v/>
      </c>
      <c r="F288" s="78">
        <f>IF($A288="","",IFERROR(INDEX(Configurações!$C$5:$C$100,MATCH($C288,Configurações!$A$5:$A$100,0)),"Margem"))</f>
        <v/>
      </c>
      <c r="G288" s="78">
        <f>IF($A288="","",IFERROR(INDEX(Configurações!$B$5:$B$100,MATCH($C288,Configurações!$A$5:$A$100,0)),0))</f>
        <v/>
      </c>
      <c r="H288" s="78">
        <f>IF(OR($A288="",'Importar Reservas'!M280&lt;&gt;"Aprovado",$D288&lt;=0),"",MAX(0,IF($F288="Margem",$D288-$E288,$D288))*$G288)</f>
        <v/>
      </c>
    </row>
    <row r="289" ht="15" customHeight="1" s="79">
      <c r="A289" s="78">
        <f>IF('Importar Reservas'!A281="","",'Importar Reservas'!A281)</f>
        <v/>
      </c>
      <c r="B289" s="78">
        <f>IF($A289="","",'Importar Reservas'!B281)</f>
        <v/>
      </c>
      <c r="C289" s="78">
        <f>IF($A289="","",'Importar Reservas'!Z281)</f>
        <v/>
      </c>
      <c r="D289" s="78">
        <f>IF($A289="","",IF('Importar Reservas'!O281="",0,'Importar Reservas'!O281))</f>
        <v/>
      </c>
      <c r="E289" s="78">
        <f>IF($A289="","",IF('Importar Reservas'!N281="",0,'Importar Reservas'!N281))</f>
        <v/>
      </c>
      <c r="F289" s="78">
        <f>IF($A289="","",IFERROR(INDEX(Configurações!$C$5:$C$100,MATCH($C289,Configurações!$A$5:$A$100,0)),"Margem"))</f>
        <v/>
      </c>
      <c r="G289" s="78">
        <f>IF($A289="","",IFERROR(INDEX(Configurações!$B$5:$B$100,MATCH($C289,Configurações!$A$5:$A$100,0)),0))</f>
        <v/>
      </c>
      <c r="H289" s="78">
        <f>IF(OR($A289="",'Importar Reservas'!M281&lt;&gt;"Aprovado",$D289&lt;=0),"",MAX(0,IF($F289="Margem",$D289-$E289,$D289))*$G289)</f>
        <v/>
      </c>
    </row>
    <row r="290" ht="15" customHeight="1" s="79">
      <c r="A290" s="78">
        <f>IF('Importar Reservas'!A282="","",'Importar Reservas'!A282)</f>
        <v/>
      </c>
      <c r="B290" s="78">
        <f>IF($A290="","",'Importar Reservas'!B282)</f>
        <v/>
      </c>
      <c r="C290" s="78">
        <f>IF($A290="","",'Importar Reservas'!Z282)</f>
        <v/>
      </c>
      <c r="D290" s="78">
        <f>IF($A290="","",IF('Importar Reservas'!O282="",0,'Importar Reservas'!O282))</f>
        <v/>
      </c>
      <c r="E290" s="78">
        <f>IF($A290="","",IF('Importar Reservas'!N282="",0,'Importar Reservas'!N282))</f>
        <v/>
      </c>
      <c r="F290" s="78">
        <f>IF($A290="","",IFERROR(INDEX(Configurações!$C$5:$C$100,MATCH($C290,Configurações!$A$5:$A$100,0)),"Margem"))</f>
        <v/>
      </c>
      <c r="G290" s="78">
        <f>IF($A290="","",IFERROR(INDEX(Configurações!$B$5:$B$100,MATCH($C290,Configurações!$A$5:$A$100,0)),0))</f>
        <v/>
      </c>
      <c r="H290" s="78">
        <f>IF(OR($A290="",'Importar Reservas'!M282&lt;&gt;"Aprovado",$D290&lt;=0),"",MAX(0,IF($F290="Margem",$D290-$E290,$D290))*$G290)</f>
        <v/>
      </c>
    </row>
    <row r="291" ht="15" customHeight="1" s="79">
      <c r="A291" s="78">
        <f>IF('Importar Reservas'!A283="","",'Importar Reservas'!A283)</f>
        <v/>
      </c>
      <c r="B291" s="78">
        <f>IF($A291="","",'Importar Reservas'!B283)</f>
        <v/>
      </c>
      <c r="C291" s="78">
        <f>IF($A291="","",'Importar Reservas'!Z283)</f>
        <v/>
      </c>
      <c r="D291" s="78">
        <f>IF($A291="","",IF('Importar Reservas'!O283="",0,'Importar Reservas'!O283))</f>
        <v/>
      </c>
      <c r="E291" s="78">
        <f>IF($A291="","",IF('Importar Reservas'!N283="",0,'Importar Reservas'!N283))</f>
        <v/>
      </c>
      <c r="F291" s="78">
        <f>IF($A291="","",IFERROR(INDEX(Configurações!$C$5:$C$100,MATCH($C291,Configurações!$A$5:$A$100,0)),"Margem"))</f>
        <v/>
      </c>
      <c r="G291" s="78">
        <f>IF($A291="","",IFERROR(INDEX(Configurações!$B$5:$B$100,MATCH($C291,Configurações!$A$5:$A$100,0)),0))</f>
        <v/>
      </c>
      <c r="H291" s="78">
        <f>IF(OR($A291="",'Importar Reservas'!M283&lt;&gt;"Aprovado",$D291&lt;=0),"",MAX(0,IF($F291="Margem",$D291-$E291,$D291))*$G291)</f>
        <v/>
      </c>
    </row>
    <row r="292" ht="15" customHeight="1" s="79">
      <c r="A292" s="78">
        <f>IF('Importar Reservas'!A284="","",'Importar Reservas'!A284)</f>
        <v/>
      </c>
      <c r="B292" s="78">
        <f>IF($A292="","",'Importar Reservas'!B284)</f>
        <v/>
      </c>
      <c r="C292" s="78">
        <f>IF($A292="","",'Importar Reservas'!Z284)</f>
        <v/>
      </c>
      <c r="D292" s="78">
        <f>IF($A292="","",IF('Importar Reservas'!O284="",0,'Importar Reservas'!O284))</f>
        <v/>
      </c>
      <c r="E292" s="78">
        <f>IF($A292="","",IF('Importar Reservas'!N284="",0,'Importar Reservas'!N284))</f>
        <v/>
      </c>
      <c r="F292" s="78">
        <f>IF($A292="","",IFERROR(INDEX(Configurações!$C$5:$C$100,MATCH($C292,Configurações!$A$5:$A$100,0)),"Margem"))</f>
        <v/>
      </c>
      <c r="G292" s="78">
        <f>IF($A292="","",IFERROR(INDEX(Configurações!$B$5:$B$100,MATCH($C292,Configurações!$A$5:$A$100,0)),0))</f>
        <v/>
      </c>
      <c r="H292" s="78">
        <f>IF(OR($A292="",'Importar Reservas'!M284&lt;&gt;"Aprovado",$D292&lt;=0),"",MAX(0,IF($F292="Margem",$D292-$E292,$D292))*$G292)</f>
        <v/>
      </c>
    </row>
    <row r="293" ht="15" customHeight="1" s="79">
      <c r="A293" s="78">
        <f>IF('Importar Reservas'!A285="","",'Importar Reservas'!A285)</f>
        <v/>
      </c>
      <c r="B293" s="78">
        <f>IF($A293="","",'Importar Reservas'!B285)</f>
        <v/>
      </c>
      <c r="C293" s="78">
        <f>IF($A293="","",'Importar Reservas'!Z285)</f>
        <v/>
      </c>
      <c r="D293" s="78">
        <f>IF($A293="","",IF('Importar Reservas'!O285="",0,'Importar Reservas'!O285))</f>
        <v/>
      </c>
      <c r="E293" s="78">
        <f>IF($A293="","",IF('Importar Reservas'!N285="",0,'Importar Reservas'!N285))</f>
        <v/>
      </c>
      <c r="F293" s="78">
        <f>IF($A293="","",IFERROR(INDEX(Configurações!$C$5:$C$100,MATCH($C293,Configurações!$A$5:$A$100,0)),"Margem"))</f>
        <v/>
      </c>
      <c r="G293" s="78">
        <f>IF($A293="","",IFERROR(INDEX(Configurações!$B$5:$B$100,MATCH($C293,Configurações!$A$5:$A$100,0)),0))</f>
        <v/>
      </c>
      <c r="H293" s="78">
        <f>IF(OR($A293="",'Importar Reservas'!M285&lt;&gt;"Aprovado",$D293&lt;=0),"",MAX(0,IF($F293="Margem",$D293-$E293,$D293))*$G293)</f>
        <v/>
      </c>
    </row>
    <row r="294" ht="15" customHeight="1" s="79">
      <c r="A294" s="78">
        <f>IF('Importar Reservas'!A286="","",'Importar Reservas'!A286)</f>
        <v/>
      </c>
      <c r="B294" s="78">
        <f>IF($A294="","",'Importar Reservas'!B286)</f>
        <v/>
      </c>
      <c r="C294" s="78">
        <f>IF($A294="","",'Importar Reservas'!Z286)</f>
        <v/>
      </c>
      <c r="D294" s="78">
        <f>IF($A294="","",IF('Importar Reservas'!O286="",0,'Importar Reservas'!O286))</f>
        <v/>
      </c>
      <c r="E294" s="78">
        <f>IF($A294="","",IF('Importar Reservas'!N286="",0,'Importar Reservas'!N286))</f>
        <v/>
      </c>
      <c r="F294" s="78">
        <f>IF($A294="","",IFERROR(INDEX(Configurações!$C$5:$C$100,MATCH($C294,Configurações!$A$5:$A$100,0)),"Margem"))</f>
        <v/>
      </c>
      <c r="G294" s="78">
        <f>IF($A294="","",IFERROR(INDEX(Configurações!$B$5:$B$100,MATCH($C294,Configurações!$A$5:$A$100,0)),0))</f>
        <v/>
      </c>
      <c r="H294" s="78">
        <f>IF(OR($A294="",'Importar Reservas'!M286&lt;&gt;"Aprovado",$D294&lt;=0),"",MAX(0,IF($F294="Margem",$D294-$E294,$D294))*$G294)</f>
        <v/>
      </c>
    </row>
    <row r="295" ht="15" customHeight="1" s="79">
      <c r="A295" s="78">
        <f>IF('Importar Reservas'!A287="","",'Importar Reservas'!A287)</f>
        <v/>
      </c>
      <c r="B295" s="78">
        <f>IF($A295="","",'Importar Reservas'!B287)</f>
        <v/>
      </c>
      <c r="C295" s="78">
        <f>IF($A295="","",'Importar Reservas'!Z287)</f>
        <v/>
      </c>
      <c r="D295" s="78">
        <f>IF($A295="","",IF('Importar Reservas'!O287="",0,'Importar Reservas'!O287))</f>
        <v/>
      </c>
      <c r="E295" s="78">
        <f>IF($A295="","",IF('Importar Reservas'!N287="",0,'Importar Reservas'!N287))</f>
        <v/>
      </c>
      <c r="F295" s="78">
        <f>IF($A295="","",IFERROR(INDEX(Configurações!$C$5:$C$100,MATCH($C295,Configurações!$A$5:$A$100,0)),"Margem"))</f>
        <v/>
      </c>
      <c r="G295" s="78">
        <f>IF($A295="","",IFERROR(INDEX(Configurações!$B$5:$B$100,MATCH($C295,Configurações!$A$5:$A$100,0)),0))</f>
        <v/>
      </c>
      <c r="H295" s="78">
        <f>IF(OR($A295="",'Importar Reservas'!M287&lt;&gt;"Aprovado",$D295&lt;=0),"",MAX(0,IF($F295="Margem",$D295-$E295,$D295))*$G295)</f>
        <v/>
      </c>
    </row>
    <row r="296" ht="15" customHeight="1" s="79">
      <c r="A296" s="78">
        <f>IF('Importar Reservas'!A288="","",'Importar Reservas'!A288)</f>
        <v/>
      </c>
      <c r="B296" s="78">
        <f>IF($A296="","",'Importar Reservas'!B288)</f>
        <v/>
      </c>
      <c r="C296" s="78">
        <f>IF($A296="","",'Importar Reservas'!Z288)</f>
        <v/>
      </c>
      <c r="D296" s="78">
        <f>IF($A296="","",IF('Importar Reservas'!O288="",0,'Importar Reservas'!O288))</f>
        <v/>
      </c>
      <c r="E296" s="78">
        <f>IF($A296="","",IF('Importar Reservas'!N288="",0,'Importar Reservas'!N288))</f>
        <v/>
      </c>
      <c r="F296" s="78">
        <f>IF($A296="","",IFERROR(INDEX(Configurações!$C$5:$C$100,MATCH($C296,Configurações!$A$5:$A$100,0)),"Margem"))</f>
        <v/>
      </c>
      <c r="G296" s="78">
        <f>IF($A296="","",IFERROR(INDEX(Configurações!$B$5:$B$100,MATCH($C296,Configurações!$A$5:$A$100,0)),0))</f>
        <v/>
      </c>
      <c r="H296" s="78">
        <f>IF(OR($A296="",'Importar Reservas'!M288&lt;&gt;"Aprovado",$D296&lt;=0),"",MAX(0,IF($F296="Margem",$D296-$E296,$D296))*$G296)</f>
        <v/>
      </c>
    </row>
    <row r="297" ht="15" customHeight="1" s="79">
      <c r="A297" s="78">
        <f>IF('Importar Reservas'!A289="","",'Importar Reservas'!A289)</f>
        <v/>
      </c>
      <c r="B297" s="78">
        <f>IF($A297="","",'Importar Reservas'!B289)</f>
        <v/>
      </c>
      <c r="C297" s="78">
        <f>IF($A297="","",'Importar Reservas'!Z289)</f>
        <v/>
      </c>
      <c r="D297" s="78">
        <f>IF($A297="","",IF('Importar Reservas'!O289="",0,'Importar Reservas'!O289))</f>
        <v/>
      </c>
      <c r="E297" s="78">
        <f>IF($A297="","",IF('Importar Reservas'!N289="",0,'Importar Reservas'!N289))</f>
        <v/>
      </c>
      <c r="F297" s="78">
        <f>IF($A297="","",IFERROR(INDEX(Configurações!$C$5:$C$100,MATCH($C297,Configurações!$A$5:$A$100,0)),"Margem"))</f>
        <v/>
      </c>
      <c r="G297" s="78">
        <f>IF($A297="","",IFERROR(INDEX(Configurações!$B$5:$B$100,MATCH($C297,Configurações!$A$5:$A$100,0)),0))</f>
        <v/>
      </c>
      <c r="H297" s="78">
        <f>IF(OR($A297="",'Importar Reservas'!M289&lt;&gt;"Aprovado",$D297&lt;=0),"",MAX(0,IF($F297="Margem",$D297-$E297,$D297))*$G297)</f>
        <v/>
      </c>
    </row>
    <row r="298" ht="15" customHeight="1" s="79">
      <c r="A298" s="78">
        <f>IF('Importar Reservas'!A290="","",'Importar Reservas'!A290)</f>
        <v/>
      </c>
      <c r="B298" s="78">
        <f>IF($A298="","",'Importar Reservas'!B290)</f>
        <v/>
      </c>
      <c r="C298" s="78">
        <f>IF($A298="","",'Importar Reservas'!Z290)</f>
        <v/>
      </c>
      <c r="D298" s="78">
        <f>IF($A298="","",IF('Importar Reservas'!O290="",0,'Importar Reservas'!O290))</f>
        <v/>
      </c>
      <c r="E298" s="78">
        <f>IF($A298="","",IF('Importar Reservas'!N290="",0,'Importar Reservas'!N290))</f>
        <v/>
      </c>
      <c r="F298" s="78">
        <f>IF($A298="","",IFERROR(INDEX(Configurações!$C$5:$C$100,MATCH($C298,Configurações!$A$5:$A$100,0)),"Margem"))</f>
        <v/>
      </c>
      <c r="G298" s="78">
        <f>IF($A298="","",IFERROR(INDEX(Configurações!$B$5:$B$100,MATCH($C298,Configurações!$A$5:$A$100,0)),0))</f>
        <v/>
      </c>
      <c r="H298" s="78">
        <f>IF(OR($A298="",'Importar Reservas'!M290&lt;&gt;"Aprovado",$D298&lt;=0),"",MAX(0,IF($F298="Margem",$D298-$E298,$D298))*$G298)</f>
        <v/>
      </c>
    </row>
    <row r="299" ht="15" customHeight="1" s="79">
      <c r="A299" s="78">
        <f>IF('Importar Reservas'!A291="","",'Importar Reservas'!A291)</f>
        <v/>
      </c>
      <c r="B299" s="78">
        <f>IF($A299="","",'Importar Reservas'!B291)</f>
        <v/>
      </c>
      <c r="C299" s="78">
        <f>IF($A299="","",'Importar Reservas'!Z291)</f>
        <v/>
      </c>
      <c r="D299" s="78">
        <f>IF($A299="","",IF('Importar Reservas'!O291="",0,'Importar Reservas'!O291))</f>
        <v/>
      </c>
      <c r="E299" s="78">
        <f>IF($A299="","",IF('Importar Reservas'!N291="",0,'Importar Reservas'!N291))</f>
        <v/>
      </c>
      <c r="F299" s="78">
        <f>IF($A299="","",IFERROR(INDEX(Configurações!$C$5:$C$100,MATCH($C299,Configurações!$A$5:$A$100,0)),"Margem"))</f>
        <v/>
      </c>
      <c r="G299" s="78">
        <f>IF($A299="","",IFERROR(INDEX(Configurações!$B$5:$B$100,MATCH($C299,Configurações!$A$5:$A$100,0)),0))</f>
        <v/>
      </c>
      <c r="H299" s="78">
        <f>IF(OR($A299="",'Importar Reservas'!M291&lt;&gt;"Aprovado",$D299&lt;=0),"",MAX(0,IF($F299="Margem",$D299-$E299,$D299))*$G299)</f>
        <v/>
      </c>
    </row>
    <row r="300" ht="15" customHeight="1" s="79">
      <c r="A300" s="78">
        <f>IF('Importar Reservas'!A292="","",'Importar Reservas'!A292)</f>
        <v/>
      </c>
      <c r="B300" s="78">
        <f>IF($A300="","",'Importar Reservas'!B292)</f>
        <v/>
      </c>
      <c r="C300" s="78">
        <f>IF($A300="","",'Importar Reservas'!Z292)</f>
        <v/>
      </c>
      <c r="D300" s="78">
        <f>IF($A300="","",IF('Importar Reservas'!O292="",0,'Importar Reservas'!O292))</f>
        <v/>
      </c>
      <c r="E300" s="78">
        <f>IF($A300="","",IF('Importar Reservas'!N292="",0,'Importar Reservas'!N292))</f>
        <v/>
      </c>
      <c r="F300" s="78">
        <f>IF($A300="","",IFERROR(INDEX(Configurações!$C$5:$C$100,MATCH($C300,Configurações!$A$5:$A$100,0)),"Margem"))</f>
        <v/>
      </c>
      <c r="G300" s="78">
        <f>IF($A300="","",IFERROR(INDEX(Configurações!$B$5:$B$100,MATCH($C300,Configurações!$A$5:$A$100,0)),0))</f>
        <v/>
      </c>
      <c r="H300" s="78">
        <f>IF(OR($A300="",'Importar Reservas'!M292&lt;&gt;"Aprovado",$D300&lt;=0),"",MAX(0,IF($F300="Margem",$D300-$E300,$D300))*$G300)</f>
        <v/>
      </c>
    </row>
    <row r="301" ht="15" customHeight="1" s="79">
      <c r="A301" s="78">
        <f>IF('Importar Reservas'!A293="","",'Importar Reservas'!A293)</f>
        <v/>
      </c>
      <c r="B301" s="78">
        <f>IF($A301="","",'Importar Reservas'!B293)</f>
        <v/>
      </c>
      <c r="C301" s="78">
        <f>IF($A301="","",'Importar Reservas'!Z293)</f>
        <v/>
      </c>
      <c r="D301" s="78">
        <f>IF($A301="","",IF('Importar Reservas'!O293="",0,'Importar Reservas'!O293))</f>
        <v/>
      </c>
      <c r="E301" s="78">
        <f>IF($A301="","",IF('Importar Reservas'!N293="",0,'Importar Reservas'!N293))</f>
        <v/>
      </c>
      <c r="F301" s="78">
        <f>IF($A301="","",IFERROR(INDEX(Configurações!$C$5:$C$100,MATCH($C301,Configurações!$A$5:$A$100,0)),"Margem"))</f>
        <v/>
      </c>
      <c r="G301" s="78">
        <f>IF($A301="","",IFERROR(INDEX(Configurações!$B$5:$B$100,MATCH($C301,Configurações!$A$5:$A$100,0)),0))</f>
        <v/>
      </c>
      <c r="H301" s="78">
        <f>IF(OR($A301="",'Importar Reservas'!M293&lt;&gt;"Aprovado",$D301&lt;=0),"",MAX(0,IF($F301="Margem",$D301-$E301,$D301))*$G301)</f>
        <v/>
      </c>
    </row>
    <row r="302" ht="15" customHeight="1" s="79">
      <c r="A302" s="78">
        <f>IF('Importar Reservas'!A294="","",'Importar Reservas'!A294)</f>
        <v/>
      </c>
      <c r="B302" s="78">
        <f>IF($A302="","",'Importar Reservas'!B294)</f>
        <v/>
      </c>
      <c r="C302" s="78">
        <f>IF($A302="","",'Importar Reservas'!Z294)</f>
        <v/>
      </c>
      <c r="D302" s="78">
        <f>IF($A302="","",IF('Importar Reservas'!O294="",0,'Importar Reservas'!O294))</f>
        <v/>
      </c>
      <c r="E302" s="78">
        <f>IF($A302="","",IF('Importar Reservas'!N294="",0,'Importar Reservas'!N294))</f>
        <v/>
      </c>
      <c r="F302" s="78">
        <f>IF($A302="","",IFERROR(INDEX(Configurações!$C$5:$C$100,MATCH($C302,Configurações!$A$5:$A$100,0)),"Margem"))</f>
        <v/>
      </c>
      <c r="G302" s="78">
        <f>IF($A302="","",IFERROR(INDEX(Configurações!$B$5:$B$100,MATCH($C302,Configurações!$A$5:$A$100,0)),0))</f>
        <v/>
      </c>
      <c r="H302" s="78">
        <f>IF(OR($A302="",'Importar Reservas'!M294&lt;&gt;"Aprovado",$D302&lt;=0),"",MAX(0,IF($F302="Margem",$D302-$E302,$D302))*$G302)</f>
        <v/>
      </c>
    </row>
    <row r="303" ht="15" customHeight="1" s="79">
      <c r="A303" s="78">
        <f>IF('Importar Reservas'!A295="","",'Importar Reservas'!A295)</f>
        <v/>
      </c>
      <c r="B303" s="78">
        <f>IF($A303="","",'Importar Reservas'!B295)</f>
        <v/>
      </c>
      <c r="C303" s="78">
        <f>IF($A303="","",'Importar Reservas'!Z295)</f>
        <v/>
      </c>
      <c r="D303" s="78">
        <f>IF($A303="","",IF('Importar Reservas'!O295="",0,'Importar Reservas'!O295))</f>
        <v/>
      </c>
      <c r="E303" s="78">
        <f>IF($A303="","",IF('Importar Reservas'!N295="",0,'Importar Reservas'!N295))</f>
        <v/>
      </c>
      <c r="F303" s="78">
        <f>IF($A303="","",IFERROR(INDEX(Configurações!$C$5:$C$100,MATCH($C303,Configurações!$A$5:$A$100,0)),"Margem"))</f>
        <v/>
      </c>
      <c r="G303" s="78">
        <f>IF($A303="","",IFERROR(INDEX(Configurações!$B$5:$B$100,MATCH($C303,Configurações!$A$5:$A$100,0)),0))</f>
        <v/>
      </c>
      <c r="H303" s="78">
        <f>IF(OR($A303="",'Importar Reservas'!M295&lt;&gt;"Aprovado",$D303&lt;=0),"",MAX(0,IF($F303="Margem",$D303-$E303,$D303))*$G303)</f>
        <v/>
      </c>
    </row>
    <row r="304" ht="15" customHeight="1" s="79">
      <c r="A304" s="78">
        <f>IF('Importar Reservas'!A296="","",'Importar Reservas'!A296)</f>
        <v/>
      </c>
      <c r="B304" s="78">
        <f>IF($A304="","",'Importar Reservas'!B296)</f>
        <v/>
      </c>
      <c r="C304" s="78">
        <f>IF($A304="","",'Importar Reservas'!Z296)</f>
        <v/>
      </c>
      <c r="D304" s="78">
        <f>IF($A304="","",IF('Importar Reservas'!O296="",0,'Importar Reservas'!O296))</f>
        <v/>
      </c>
      <c r="E304" s="78">
        <f>IF($A304="","",IF('Importar Reservas'!N296="",0,'Importar Reservas'!N296))</f>
        <v/>
      </c>
      <c r="F304" s="78">
        <f>IF($A304="","",IFERROR(INDEX(Configurações!$C$5:$C$100,MATCH($C304,Configurações!$A$5:$A$100,0)),"Margem"))</f>
        <v/>
      </c>
      <c r="G304" s="78">
        <f>IF($A304="","",IFERROR(INDEX(Configurações!$B$5:$B$100,MATCH($C304,Configurações!$A$5:$A$100,0)),0))</f>
        <v/>
      </c>
      <c r="H304" s="78">
        <f>IF(OR($A304="",'Importar Reservas'!M296&lt;&gt;"Aprovado",$D304&lt;=0),"",MAX(0,IF($F304="Margem",$D304-$E304,$D304))*$G304)</f>
        <v/>
      </c>
    </row>
    <row r="305" ht="15" customHeight="1" s="79">
      <c r="A305" s="78">
        <f>IF('Importar Reservas'!A297="","",'Importar Reservas'!A297)</f>
        <v/>
      </c>
      <c r="B305" s="78">
        <f>IF($A305="","",'Importar Reservas'!B297)</f>
        <v/>
      </c>
      <c r="C305" s="78">
        <f>IF($A305="","",'Importar Reservas'!Z297)</f>
        <v/>
      </c>
      <c r="D305" s="78">
        <f>IF($A305="","",IF('Importar Reservas'!O297="",0,'Importar Reservas'!O297))</f>
        <v/>
      </c>
      <c r="E305" s="78">
        <f>IF($A305="","",IF('Importar Reservas'!N297="",0,'Importar Reservas'!N297))</f>
        <v/>
      </c>
      <c r="F305" s="78">
        <f>IF($A305="","",IFERROR(INDEX(Configurações!$C$5:$C$100,MATCH($C305,Configurações!$A$5:$A$100,0)),"Margem"))</f>
        <v/>
      </c>
      <c r="G305" s="78">
        <f>IF($A305="","",IFERROR(INDEX(Configurações!$B$5:$B$100,MATCH($C305,Configurações!$A$5:$A$100,0)),0))</f>
        <v/>
      </c>
      <c r="H305" s="78">
        <f>IF(OR($A305="",'Importar Reservas'!M297&lt;&gt;"Aprovado",$D305&lt;=0),"",MAX(0,IF($F305="Margem",$D305-$E305,$D305))*$G305)</f>
        <v/>
      </c>
    </row>
    <row r="306" ht="15" customHeight="1" s="79">
      <c r="A306" s="78">
        <f>IF('Importar Reservas'!A298="","",'Importar Reservas'!A298)</f>
        <v/>
      </c>
      <c r="B306" s="78">
        <f>IF($A306="","",'Importar Reservas'!B298)</f>
        <v/>
      </c>
      <c r="C306" s="78">
        <f>IF($A306="","",'Importar Reservas'!Z298)</f>
        <v/>
      </c>
      <c r="D306" s="78">
        <f>IF($A306="","",IF('Importar Reservas'!O298="",0,'Importar Reservas'!O298))</f>
        <v/>
      </c>
      <c r="E306" s="78">
        <f>IF($A306="","",IF('Importar Reservas'!N298="",0,'Importar Reservas'!N298))</f>
        <v/>
      </c>
      <c r="F306" s="78">
        <f>IF($A306="","",IFERROR(INDEX(Configurações!$C$5:$C$100,MATCH($C306,Configurações!$A$5:$A$100,0)),"Margem"))</f>
        <v/>
      </c>
      <c r="G306" s="78">
        <f>IF($A306="","",IFERROR(INDEX(Configurações!$B$5:$B$100,MATCH($C306,Configurações!$A$5:$A$100,0)),0))</f>
        <v/>
      </c>
      <c r="H306" s="78">
        <f>IF(OR($A306="",'Importar Reservas'!M298&lt;&gt;"Aprovado",$D306&lt;=0),"",MAX(0,IF($F306="Margem",$D306-$E306,$D306))*$G306)</f>
        <v/>
      </c>
    </row>
    <row r="307" ht="15" customHeight="1" s="79">
      <c r="A307" s="78">
        <f>IF('Importar Reservas'!A299="","",'Importar Reservas'!A299)</f>
        <v/>
      </c>
      <c r="B307" s="78">
        <f>IF($A307="","",'Importar Reservas'!B299)</f>
        <v/>
      </c>
      <c r="C307" s="78">
        <f>IF($A307="","",'Importar Reservas'!Z299)</f>
        <v/>
      </c>
      <c r="D307" s="78">
        <f>IF($A307="","",IF('Importar Reservas'!O299="",0,'Importar Reservas'!O299))</f>
        <v/>
      </c>
      <c r="E307" s="78">
        <f>IF($A307="","",IF('Importar Reservas'!N299="",0,'Importar Reservas'!N299))</f>
        <v/>
      </c>
      <c r="F307" s="78">
        <f>IF($A307="","",IFERROR(INDEX(Configurações!$C$5:$C$100,MATCH($C307,Configurações!$A$5:$A$100,0)),"Margem"))</f>
        <v/>
      </c>
      <c r="G307" s="78">
        <f>IF($A307="","",IFERROR(INDEX(Configurações!$B$5:$B$100,MATCH($C307,Configurações!$A$5:$A$100,0)),0))</f>
        <v/>
      </c>
      <c r="H307" s="78">
        <f>IF(OR($A307="",'Importar Reservas'!M299&lt;&gt;"Aprovado",$D307&lt;=0),"",MAX(0,IF($F307="Margem",$D307-$E307,$D307))*$G307)</f>
        <v/>
      </c>
    </row>
    <row r="308" ht="15" customHeight="1" s="79">
      <c r="A308" s="78">
        <f>IF('Importar Reservas'!A300="","",'Importar Reservas'!A300)</f>
        <v/>
      </c>
      <c r="B308" s="78">
        <f>IF($A308="","",'Importar Reservas'!B300)</f>
        <v/>
      </c>
      <c r="C308" s="78">
        <f>IF($A308="","",'Importar Reservas'!Z300)</f>
        <v/>
      </c>
      <c r="D308" s="78">
        <f>IF($A308="","",IF('Importar Reservas'!O300="",0,'Importar Reservas'!O300))</f>
        <v/>
      </c>
      <c r="E308" s="78">
        <f>IF($A308="","",IF('Importar Reservas'!N300="",0,'Importar Reservas'!N300))</f>
        <v/>
      </c>
      <c r="F308" s="78">
        <f>IF($A308="","",IFERROR(INDEX(Configurações!$C$5:$C$100,MATCH($C308,Configurações!$A$5:$A$100,0)),"Margem"))</f>
        <v/>
      </c>
      <c r="G308" s="78">
        <f>IF($A308="","",IFERROR(INDEX(Configurações!$B$5:$B$100,MATCH($C308,Configurações!$A$5:$A$100,0)),0))</f>
        <v/>
      </c>
      <c r="H308" s="78">
        <f>IF(OR($A308="",'Importar Reservas'!M300&lt;&gt;"Aprovado",$D308&lt;=0),"",MAX(0,IF($F308="Margem",$D308-$E308,$D308))*$G308)</f>
        <v/>
      </c>
    </row>
    <row r="309" ht="15" customHeight="1" s="79">
      <c r="A309" s="78">
        <f>IF('Importar Reservas'!A301="","",'Importar Reservas'!A301)</f>
        <v/>
      </c>
      <c r="B309" s="78">
        <f>IF($A309="","",'Importar Reservas'!B301)</f>
        <v/>
      </c>
      <c r="C309" s="78">
        <f>IF($A309="","",'Importar Reservas'!Z301)</f>
        <v/>
      </c>
      <c r="D309" s="78">
        <f>IF($A309="","",IF('Importar Reservas'!O301="",0,'Importar Reservas'!O301))</f>
        <v/>
      </c>
      <c r="E309" s="78">
        <f>IF($A309="","",IF('Importar Reservas'!N301="",0,'Importar Reservas'!N301))</f>
        <v/>
      </c>
      <c r="F309" s="78">
        <f>IF($A309="","",IFERROR(INDEX(Configurações!$C$5:$C$100,MATCH($C309,Configurações!$A$5:$A$100,0)),"Margem"))</f>
        <v/>
      </c>
      <c r="G309" s="78">
        <f>IF($A309="","",IFERROR(INDEX(Configurações!$B$5:$B$100,MATCH($C309,Configurações!$A$5:$A$100,0)),0))</f>
        <v/>
      </c>
      <c r="H309" s="78">
        <f>IF(OR($A309="",'Importar Reservas'!M301&lt;&gt;"Aprovado",$D309&lt;=0),"",MAX(0,IF($F309="Margem",$D309-$E309,$D309))*$G309)</f>
        <v/>
      </c>
    </row>
    <row r="310" ht="15" customHeight="1" s="79">
      <c r="A310" s="78">
        <f>IF('Importar Reservas'!A302="","",'Importar Reservas'!A302)</f>
        <v/>
      </c>
      <c r="B310" s="78">
        <f>IF($A310="","",'Importar Reservas'!B302)</f>
        <v/>
      </c>
      <c r="C310" s="78">
        <f>IF($A310="","",'Importar Reservas'!Z302)</f>
        <v/>
      </c>
      <c r="D310" s="78">
        <f>IF($A310="","",IF('Importar Reservas'!O302="",0,'Importar Reservas'!O302))</f>
        <v/>
      </c>
      <c r="E310" s="78">
        <f>IF($A310="","",IF('Importar Reservas'!N302="",0,'Importar Reservas'!N302))</f>
        <v/>
      </c>
      <c r="F310" s="78">
        <f>IF($A310="","",IFERROR(INDEX(Configurações!$C$5:$C$100,MATCH($C310,Configurações!$A$5:$A$100,0)),"Margem"))</f>
        <v/>
      </c>
      <c r="G310" s="78">
        <f>IF($A310="","",IFERROR(INDEX(Configurações!$B$5:$B$100,MATCH($C310,Configurações!$A$5:$A$100,0)),0))</f>
        <v/>
      </c>
      <c r="H310" s="78">
        <f>IF(OR($A310="",'Importar Reservas'!M302&lt;&gt;"Aprovado",$D310&lt;=0),"",MAX(0,IF($F310="Margem",$D310-$E310,$D310))*$G310)</f>
        <v/>
      </c>
    </row>
    <row r="311" ht="15" customHeight="1" s="79">
      <c r="A311" s="78">
        <f>IF('Importar Reservas'!A303="","",'Importar Reservas'!A303)</f>
        <v/>
      </c>
      <c r="B311" s="78">
        <f>IF($A311="","",'Importar Reservas'!B303)</f>
        <v/>
      </c>
      <c r="C311" s="78">
        <f>IF($A311="","",'Importar Reservas'!Z303)</f>
        <v/>
      </c>
      <c r="D311" s="78">
        <f>IF($A311="","",IF('Importar Reservas'!O303="",0,'Importar Reservas'!O303))</f>
        <v/>
      </c>
      <c r="E311" s="78">
        <f>IF($A311="","",IF('Importar Reservas'!N303="",0,'Importar Reservas'!N303))</f>
        <v/>
      </c>
      <c r="F311" s="78">
        <f>IF($A311="","",IFERROR(INDEX(Configurações!$C$5:$C$100,MATCH($C311,Configurações!$A$5:$A$100,0)),"Margem"))</f>
        <v/>
      </c>
      <c r="G311" s="78">
        <f>IF($A311="","",IFERROR(INDEX(Configurações!$B$5:$B$100,MATCH($C311,Configurações!$A$5:$A$100,0)),0))</f>
        <v/>
      </c>
      <c r="H311" s="78">
        <f>IF(OR($A311="",'Importar Reservas'!M303&lt;&gt;"Aprovado",$D311&lt;=0),"",MAX(0,IF($F311="Margem",$D311-$E311,$D311))*$G311)</f>
        <v/>
      </c>
    </row>
    <row r="312" ht="15" customHeight="1" s="79">
      <c r="A312" s="78">
        <f>IF('Importar Reservas'!A304="","",'Importar Reservas'!A304)</f>
        <v/>
      </c>
      <c r="B312" s="78">
        <f>IF($A312="","",'Importar Reservas'!B304)</f>
        <v/>
      </c>
      <c r="C312" s="78">
        <f>IF($A312="","",'Importar Reservas'!Z304)</f>
        <v/>
      </c>
      <c r="D312" s="78">
        <f>IF($A312="","",IF('Importar Reservas'!O304="",0,'Importar Reservas'!O304))</f>
        <v/>
      </c>
      <c r="E312" s="78">
        <f>IF($A312="","",IF('Importar Reservas'!N304="",0,'Importar Reservas'!N304))</f>
        <v/>
      </c>
      <c r="F312" s="78">
        <f>IF($A312="","",IFERROR(INDEX(Configurações!$C$5:$C$100,MATCH($C312,Configurações!$A$5:$A$100,0)),"Margem"))</f>
        <v/>
      </c>
      <c r="G312" s="78">
        <f>IF($A312="","",IFERROR(INDEX(Configurações!$B$5:$B$100,MATCH($C312,Configurações!$A$5:$A$100,0)),0))</f>
        <v/>
      </c>
      <c r="H312" s="78">
        <f>IF(OR($A312="",'Importar Reservas'!M304&lt;&gt;"Aprovado",$D312&lt;=0),"",MAX(0,IF($F312="Margem",$D312-$E312,$D312))*$G312)</f>
        <v/>
      </c>
    </row>
    <row r="313" ht="15" customHeight="1" s="79">
      <c r="A313" s="78">
        <f>IF('Importar Reservas'!A305="","",'Importar Reservas'!A305)</f>
        <v/>
      </c>
      <c r="B313" s="78">
        <f>IF($A313="","",'Importar Reservas'!B305)</f>
        <v/>
      </c>
      <c r="C313" s="78">
        <f>IF($A313="","",'Importar Reservas'!Z305)</f>
        <v/>
      </c>
      <c r="D313" s="78">
        <f>IF($A313="","",IF('Importar Reservas'!O305="",0,'Importar Reservas'!O305))</f>
        <v/>
      </c>
      <c r="E313" s="78">
        <f>IF($A313="","",IF('Importar Reservas'!N305="",0,'Importar Reservas'!N305))</f>
        <v/>
      </c>
      <c r="F313" s="78">
        <f>IF($A313="","",IFERROR(INDEX(Configurações!$C$5:$C$100,MATCH($C313,Configurações!$A$5:$A$100,0)),"Margem"))</f>
        <v/>
      </c>
      <c r="G313" s="78">
        <f>IF($A313="","",IFERROR(INDEX(Configurações!$B$5:$B$100,MATCH($C313,Configurações!$A$5:$A$100,0)),0))</f>
        <v/>
      </c>
      <c r="H313" s="78">
        <f>IF(OR($A313="",'Importar Reservas'!M305&lt;&gt;"Aprovado",$D313&lt;=0),"",MAX(0,IF($F313="Margem",$D313-$E313,$D313))*$G313)</f>
        <v/>
      </c>
    </row>
    <row r="314" ht="15" customHeight="1" s="79">
      <c r="A314" s="78">
        <f>IF('Importar Reservas'!A306="","",'Importar Reservas'!A306)</f>
        <v/>
      </c>
      <c r="B314" s="78">
        <f>IF($A314="","",'Importar Reservas'!B306)</f>
        <v/>
      </c>
      <c r="C314" s="78">
        <f>IF($A314="","",'Importar Reservas'!Z306)</f>
        <v/>
      </c>
      <c r="D314" s="78">
        <f>IF($A314="","",IF('Importar Reservas'!O306="",0,'Importar Reservas'!O306))</f>
        <v/>
      </c>
      <c r="E314" s="78">
        <f>IF($A314="","",IF('Importar Reservas'!N306="",0,'Importar Reservas'!N306))</f>
        <v/>
      </c>
      <c r="F314" s="78">
        <f>IF($A314="","",IFERROR(INDEX(Configurações!$C$5:$C$100,MATCH($C314,Configurações!$A$5:$A$100,0)),"Margem"))</f>
        <v/>
      </c>
      <c r="G314" s="78">
        <f>IF($A314="","",IFERROR(INDEX(Configurações!$B$5:$B$100,MATCH($C314,Configurações!$A$5:$A$100,0)),0))</f>
        <v/>
      </c>
      <c r="H314" s="78">
        <f>IF(OR($A314="",'Importar Reservas'!M306&lt;&gt;"Aprovado",$D314&lt;=0),"",MAX(0,IF($F314="Margem",$D314-$E314,$D314))*$G314)</f>
        <v/>
      </c>
    </row>
    <row r="315" ht="15" customHeight="1" s="79">
      <c r="A315" s="78">
        <f>IF('Importar Reservas'!A307="","",'Importar Reservas'!A307)</f>
        <v/>
      </c>
      <c r="B315" s="78">
        <f>IF($A315="","",'Importar Reservas'!B307)</f>
        <v/>
      </c>
      <c r="C315" s="78">
        <f>IF($A315="","",'Importar Reservas'!Z307)</f>
        <v/>
      </c>
      <c r="D315" s="78">
        <f>IF($A315="","",IF('Importar Reservas'!O307="",0,'Importar Reservas'!O307))</f>
        <v/>
      </c>
      <c r="E315" s="78">
        <f>IF($A315="","",IF('Importar Reservas'!N307="",0,'Importar Reservas'!N307))</f>
        <v/>
      </c>
      <c r="F315" s="78">
        <f>IF($A315="","",IFERROR(INDEX(Configurações!$C$5:$C$100,MATCH($C315,Configurações!$A$5:$A$100,0)),"Margem"))</f>
        <v/>
      </c>
      <c r="G315" s="78">
        <f>IF($A315="","",IFERROR(INDEX(Configurações!$B$5:$B$100,MATCH($C315,Configurações!$A$5:$A$100,0)),0))</f>
        <v/>
      </c>
      <c r="H315" s="78">
        <f>IF(OR($A315="",'Importar Reservas'!M307&lt;&gt;"Aprovado",$D315&lt;=0),"",MAX(0,IF($F315="Margem",$D315-$E315,$D315))*$G315)</f>
        <v/>
      </c>
    </row>
    <row r="316" ht="15" customHeight="1" s="79">
      <c r="A316" s="78">
        <f>IF('Importar Reservas'!A308="","",'Importar Reservas'!A308)</f>
        <v/>
      </c>
      <c r="B316" s="78">
        <f>IF($A316="","",'Importar Reservas'!B308)</f>
        <v/>
      </c>
      <c r="C316" s="78">
        <f>IF($A316="","",'Importar Reservas'!Z308)</f>
        <v/>
      </c>
      <c r="D316" s="78">
        <f>IF($A316="","",IF('Importar Reservas'!O308="",0,'Importar Reservas'!O308))</f>
        <v/>
      </c>
      <c r="E316" s="78">
        <f>IF($A316="","",IF('Importar Reservas'!N308="",0,'Importar Reservas'!N308))</f>
        <v/>
      </c>
      <c r="F316" s="78">
        <f>IF($A316="","",IFERROR(INDEX(Configurações!$C$5:$C$100,MATCH($C316,Configurações!$A$5:$A$100,0)),"Margem"))</f>
        <v/>
      </c>
      <c r="G316" s="78">
        <f>IF($A316="","",IFERROR(INDEX(Configurações!$B$5:$B$100,MATCH($C316,Configurações!$A$5:$A$100,0)),0))</f>
        <v/>
      </c>
      <c r="H316" s="78">
        <f>IF(OR($A316="",'Importar Reservas'!M308&lt;&gt;"Aprovado",$D316&lt;=0),"",MAX(0,IF($F316="Margem",$D316-$E316,$D316))*$G316)</f>
        <v/>
      </c>
    </row>
    <row r="317" ht="15" customHeight="1" s="79">
      <c r="A317" s="78">
        <f>IF('Importar Reservas'!A309="","",'Importar Reservas'!A309)</f>
        <v/>
      </c>
      <c r="B317" s="78">
        <f>IF($A317="","",'Importar Reservas'!B309)</f>
        <v/>
      </c>
      <c r="C317" s="78">
        <f>IF($A317="","",'Importar Reservas'!Z309)</f>
        <v/>
      </c>
      <c r="D317" s="78">
        <f>IF($A317="","",IF('Importar Reservas'!O309="",0,'Importar Reservas'!O309))</f>
        <v/>
      </c>
      <c r="E317" s="78">
        <f>IF($A317="","",IF('Importar Reservas'!N309="",0,'Importar Reservas'!N309))</f>
        <v/>
      </c>
      <c r="F317" s="78">
        <f>IF($A317="","",IFERROR(INDEX(Configurações!$C$5:$C$100,MATCH($C317,Configurações!$A$5:$A$100,0)),"Margem"))</f>
        <v/>
      </c>
      <c r="G317" s="78">
        <f>IF($A317="","",IFERROR(INDEX(Configurações!$B$5:$B$100,MATCH($C317,Configurações!$A$5:$A$100,0)),0))</f>
        <v/>
      </c>
      <c r="H317" s="78">
        <f>IF(OR($A317="",'Importar Reservas'!M309&lt;&gt;"Aprovado",$D317&lt;=0),"",MAX(0,IF($F317="Margem",$D317-$E317,$D317))*$G317)</f>
        <v/>
      </c>
    </row>
    <row r="318" ht="15" customHeight="1" s="79">
      <c r="A318" s="78">
        <f>IF('Importar Reservas'!A310="","",'Importar Reservas'!A310)</f>
        <v/>
      </c>
      <c r="B318" s="78">
        <f>IF($A318="","",'Importar Reservas'!B310)</f>
        <v/>
      </c>
      <c r="C318" s="78">
        <f>IF($A318="","",'Importar Reservas'!Z310)</f>
        <v/>
      </c>
      <c r="D318" s="78">
        <f>IF($A318="","",IF('Importar Reservas'!O310="",0,'Importar Reservas'!O310))</f>
        <v/>
      </c>
      <c r="E318" s="78">
        <f>IF($A318="","",IF('Importar Reservas'!N310="",0,'Importar Reservas'!N310))</f>
        <v/>
      </c>
      <c r="F318" s="78">
        <f>IF($A318="","",IFERROR(INDEX(Configurações!$C$5:$C$100,MATCH($C318,Configurações!$A$5:$A$100,0)),"Margem"))</f>
        <v/>
      </c>
      <c r="G318" s="78">
        <f>IF($A318="","",IFERROR(INDEX(Configurações!$B$5:$B$100,MATCH($C318,Configurações!$A$5:$A$100,0)),0))</f>
        <v/>
      </c>
      <c r="H318" s="78">
        <f>IF(OR($A318="",'Importar Reservas'!M310&lt;&gt;"Aprovado",$D318&lt;=0),"",MAX(0,IF($F318="Margem",$D318-$E318,$D318))*$G318)</f>
        <v/>
      </c>
    </row>
    <row r="319" ht="15" customHeight="1" s="79">
      <c r="A319" s="78">
        <f>IF('Importar Reservas'!A311="","",'Importar Reservas'!A311)</f>
        <v/>
      </c>
      <c r="B319" s="78">
        <f>IF($A319="","",'Importar Reservas'!B311)</f>
        <v/>
      </c>
      <c r="C319" s="78">
        <f>IF($A319="","",'Importar Reservas'!Z311)</f>
        <v/>
      </c>
      <c r="D319" s="78">
        <f>IF($A319="","",IF('Importar Reservas'!O311="",0,'Importar Reservas'!O311))</f>
        <v/>
      </c>
      <c r="E319" s="78">
        <f>IF($A319="","",IF('Importar Reservas'!N311="",0,'Importar Reservas'!N311))</f>
        <v/>
      </c>
      <c r="F319" s="78">
        <f>IF($A319="","",IFERROR(INDEX(Configurações!$C$5:$C$100,MATCH($C319,Configurações!$A$5:$A$100,0)),"Margem"))</f>
        <v/>
      </c>
      <c r="G319" s="78">
        <f>IF($A319="","",IFERROR(INDEX(Configurações!$B$5:$B$100,MATCH($C319,Configurações!$A$5:$A$100,0)),0))</f>
        <v/>
      </c>
      <c r="H319" s="78">
        <f>IF(OR($A319="",'Importar Reservas'!M311&lt;&gt;"Aprovado",$D319&lt;=0),"",MAX(0,IF($F319="Margem",$D319-$E319,$D319))*$G319)</f>
        <v/>
      </c>
    </row>
    <row r="320" ht="15" customHeight="1" s="79">
      <c r="A320" s="78">
        <f>IF('Importar Reservas'!A312="","",'Importar Reservas'!A312)</f>
        <v/>
      </c>
      <c r="B320" s="78">
        <f>IF($A320="","",'Importar Reservas'!B312)</f>
        <v/>
      </c>
      <c r="C320" s="78">
        <f>IF($A320="","",'Importar Reservas'!Z312)</f>
        <v/>
      </c>
      <c r="D320" s="78">
        <f>IF($A320="","",IF('Importar Reservas'!O312="",0,'Importar Reservas'!O312))</f>
        <v/>
      </c>
      <c r="E320" s="78">
        <f>IF($A320="","",IF('Importar Reservas'!N312="",0,'Importar Reservas'!N312))</f>
        <v/>
      </c>
      <c r="F320" s="78">
        <f>IF($A320="","",IFERROR(INDEX(Configurações!$C$5:$C$100,MATCH($C320,Configurações!$A$5:$A$100,0)),"Margem"))</f>
        <v/>
      </c>
      <c r="G320" s="78">
        <f>IF($A320="","",IFERROR(INDEX(Configurações!$B$5:$B$100,MATCH($C320,Configurações!$A$5:$A$100,0)),0))</f>
        <v/>
      </c>
      <c r="H320" s="78">
        <f>IF(OR($A320="",'Importar Reservas'!M312&lt;&gt;"Aprovado",$D320&lt;=0),"",MAX(0,IF($F320="Margem",$D320-$E320,$D320))*$G320)</f>
        <v/>
      </c>
    </row>
    <row r="321" ht="15" customHeight="1" s="79">
      <c r="A321" s="78">
        <f>IF('Importar Reservas'!A313="","",'Importar Reservas'!A313)</f>
        <v/>
      </c>
      <c r="B321" s="78">
        <f>IF($A321="","",'Importar Reservas'!B313)</f>
        <v/>
      </c>
      <c r="C321" s="78">
        <f>IF($A321="","",'Importar Reservas'!Z313)</f>
        <v/>
      </c>
      <c r="D321" s="78">
        <f>IF($A321="","",IF('Importar Reservas'!O313="",0,'Importar Reservas'!O313))</f>
        <v/>
      </c>
      <c r="E321" s="78">
        <f>IF($A321="","",IF('Importar Reservas'!N313="",0,'Importar Reservas'!N313))</f>
        <v/>
      </c>
      <c r="F321" s="78">
        <f>IF($A321="","",IFERROR(INDEX(Configurações!$C$5:$C$100,MATCH($C321,Configurações!$A$5:$A$100,0)),"Margem"))</f>
        <v/>
      </c>
      <c r="G321" s="78">
        <f>IF($A321="","",IFERROR(INDEX(Configurações!$B$5:$B$100,MATCH($C321,Configurações!$A$5:$A$100,0)),0))</f>
        <v/>
      </c>
      <c r="H321" s="78">
        <f>IF(OR($A321="",'Importar Reservas'!M313&lt;&gt;"Aprovado",$D321&lt;=0),"",MAX(0,IF($F321="Margem",$D321-$E321,$D321))*$G321)</f>
        <v/>
      </c>
    </row>
    <row r="322" ht="15" customHeight="1" s="79">
      <c r="A322" s="78">
        <f>IF('Importar Reservas'!A314="","",'Importar Reservas'!A314)</f>
        <v/>
      </c>
      <c r="B322" s="78">
        <f>IF($A322="","",'Importar Reservas'!B314)</f>
        <v/>
      </c>
      <c r="C322" s="78">
        <f>IF($A322="","",'Importar Reservas'!Z314)</f>
        <v/>
      </c>
      <c r="D322" s="78">
        <f>IF($A322="","",IF('Importar Reservas'!O314="",0,'Importar Reservas'!O314))</f>
        <v/>
      </c>
      <c r="E322" s="78">
        <f>IF($A322="","",IF('Importar Reservas'!N314="",0,'Importar Reservas'!N314))</f>
        <v/>
      </c>
      <c r="F322" s="78">
        <f>IF($A322="","",IFERROR(INDEX(Configurações!$C$5:$C$100,MATCH($C322,Configurações!$A$5:$A$100,0)),"Margem"))</f>
        <v/>
      </c>
      <c r="G322" s="78">
        <f>IF($A322="","",IFERROR(INDEX(Configurações!$B$5:$B$100,MATCH($C322,Configurações!$A$5:$A$100,0)),0))</f>
        <v/>
      </c>
      <c r="H322" s="78">
        <f>IF(OR($A322="",'Importar Reservas'!M314&lt;&gt;"Aprovado",$D322&lt;=0),"",MAX(0,IF($F322="Margem",$D322-$E322,$D322))*$G322)</f>
        <v/>
      </c>
    </row>
    <row r="323" ht="15" customHeight="1" s="79">
      <c r="A323" s="78">
        <f>IF('Importar Reservas'!A315="","",'Importar Reservas'!A315)</f>
        <v/>
      </c>
      <c r="B323" s="78">
        <f>IF($A323="","",'Importar Reservas'!B315)</f>
        <v/>
      </c>
      <c r="C323" s="78">
        <f>IF($A323="","",'Importar Reservas'!Z315)</f>
        <v/>
      </c>
      <c r="D323" s="78">
        <f>IF($A323="","",IF('Importar Reservas'!O315="",0,'Importar Reservas'!O315))</f>
        <v/>
      </c>
      <c r="E323" s="78">
        <f>IF($A323="","",IF('Importar Reservas'!N315="",0,'Importar Reservas'!N315))</f>
        <v/>
      </c>
      <c r="F323" s="78">
        <f>IF($A323="","",IFERROR(INDEX(Configurações!$C$5:$C$100,MATCH($C323,Configurações!$A$5:$A$100,0)),"Margem"))</f>
        <v/>
      </c>
      <c r="G323" s="78">
        <f>IF($A323="","",IFERROR(INDEX(Configurações!$B$5:$B$100,MATCH($C323,Configurações!$A$5:$A$100,0)),0))</f>
        <v/>
      </c>
      <c r="H323" s="78">
        <f>IF(OR($A323="",'Importar Reservas'!M315&lt;&gt;"Aprovado",$D323&lt;=0),"",MAX(0,IF($F323="Margem",$D323-$E323,$D323))*$G323)</f>
        <v/>
      </c>
    </row>
    <row r="324" ht="15" customHeight="1" s="79">
      <c r="A324" s="78">
        <f>IF('Importar Reservas'!A316="","",'Importar Reservas'!A316)</f>
        <v/>
      </c>
      <c r="B324" s="78">
        <f>IF($A324="","",'Importar Reservas'!B316)</f>
        <v/>
      </c>
      <c r="C324" s="78">
        <f>IF($A324="","",'Importar Reservas'!Z316)</f>
        <v/>
      </c>
      <c r="D324" s="78">
        <f>IF($A324="","",IF('Importar Reservas'!O316="",0,'Importar Reservas'!O316))</f>
        <v/>
      </c>
      <c r="E324" s="78">
        <f>IF($A324="","",IF('Importar Reservas'!N316="",0,'Importar Reservas'!N316))</f>
        <v/>
      </c>
      <c r="F324" s="78">
        <f>IF($A324="","",IFERROR(INDEX(Configurações!$C$5:$C$100,MATCH($C324,Configurações!$A$5:$A$100,0)),"Margem"))</f>
        <v/>
      </c>
      <c r="G324" s="78">
        <f>IF($A324="","",IFERROR(INDEX(Configurações!$B$5:$B$100,MATCH($C324,Configurações!$A$5:$A$100,0)),0))</f>
        <v/>
      </c>
      <c r="H324" s="78">
        <f>IF(OR($A324="",'Importar Reservas'!M316&lt;&gt;"Aprovado",$D324&lt;=0),"",MAX(0,IF($F324="Margem",$D324-$E324,$D324))*$G324)</f>
        <v/>
      </c>
    </row>
    <row r="325" ht="15" customHeight="1" s="79">
      <c r="A325" s="78">
        <f>IF('Importar Reservas'!A317="","",'Importar Reservas'!A317)</f>
        <v/>
      </c>
      <c r="B325" s="78">
        <f>IF($A325="","",'Importar Reservas'!B317)</f>
        <v/>
      </c>
      <c r="C325" s="78">
        <f>IF($A325="","",'Importar Reservas'!Z317)</f>
        <v/>
      </c>
      <c r="D325" s="78">
        <f>IF($A325="","",IF('Importar Reservas'!O317="",0,'Importar Reservas'!O317))</f>
        <v/>
      </c>
      <c r="E325" s="78">
        <f>IF($A325="","",IF('Importar Reservas'!N317="",0,'Importar Reservas'!N317))</f>
        <v/>
      </c>
      <c r="F325" s="78">
        <f>IF($A325="","",IFERROR(INDEX(Configurações!$C$5:$C$100,MATCH($C325,Configurações!$A$5:$A$100,0)),"Margem"))</f>
        <v/>
      </c>
      <c r="G325" s="78">
        <f>IF($A325="","",IFERROR(INDEX(Configurações!$B$5:$B$100,MATCH($C325,Configurações!$A$5:$A$100,0)),0))</f>
        <v/>
      </c>
      <c r="H325" s="78">
        <f>IF(OR($A325="",'Importar Reservas'!M317&lt;&gt;"Aprovado",$D325&lt;=0),"",MAX(0,IF($F325="Margem",$D325-$E325,$D325))*$G325)</f>
        <v/>
      </c>
    </row>
    <row r="326" ht="15" customHeight="1" s="79">
      <c r="A326" s="78">
        <f>IF('Importar Reservas'!A318="","",'Importar Reservas'!A318)</f>
        <v/>
      </c>
      <c r="B326" s="78">
        <f>IF($A326="","",'Importar Reservas'!B318)</f>
        <v/>
      </c>
      <c r="C326" s="78">
        <f>IF($A326="","",'Importar Reservas'!Z318)</f>
        <v/>
      </c>
      <c r="D326" s="78">
        <f>IF($A326="","",IF('Importar Reservas'!O318="",0,'Importar Reservas'!O318))</f>
        <v/>
      </c>
      <c r="E326" s="78">
        <f>IF($A326="","",IF('Importar Reservas'!N318="",0,'Importar Reservas'!N318))</f>
        <v/>
      </c>
      <c r="F326" s="78">
        <f>IF($A326="","",IFERROR(INDEX(Configurações!$C$5:$C$100,MATCH($C326,Configurações!$A$5:$A$100,0)),"Margem"))</f>
        <v/>
      </c>
      <c r="G326" s="78">
        <f>IF($A326="","",IFERROR(INDEX(Configurações!$B$5:$B$100,MATCH($C326,Configurações!$A$5:$A$100,0)),0))</f>
        <v/>
      </c>
      <c r="H326" s="78">
        <f>IF(OR($A326="",'Importar Reservas'!M318&lt;&gt;"Aprovado",$D326&lt;=0),"",MAX(0,IF($F326="Margem",$D326-$E326,$D326))*$G326)</f>
        <v/>
      </c>
    </row>
    <row r="327" ht="15" customHeight="1" s="79">
      <c r="A327" s="78">
        <f>IF('Importar Reservas'!A319="","",'Importar Reservas'!A319)</f>
        <v/>
      </c>
      <c r="B327" s="78">
        <f>IF($A327="","",'Importar Reservas'!B319)</f>
        <v/>
      </c>
      <c r="C327" s="78">
        <f>IF($A327="","",'Importar Reservas'!Z319)</f>
        <v/>
      </c>
      <c r="D327" s="78">
        <f>IF($A327="","",IF('Importar Reservas'!O319="",0,'Importar Reservas'!O319))</f>
        <v/>
      </c>
      <c r="E327" s="78">
        <f>IF($A327="","",IF('Importar Reservas'!N319="",0,'Importar Reservas'!N319))</f>
        <v/>
      </c>
      <c r="F327" s="78">
        <f>IF($A327="","",IFERROR(INDEX(Configurações!$C$5:$C$100,MATCH($C327,Configurações!$A$5:$A$100,0)),"Margem"))</f>
        <v/>
      </c>
      <c r="G327" s="78">
        <f>IF($A327="","",IFERROR(INDEX(Configurações!$B$5:$B$100,MATCH($C327,Configurações!$A$5:$A$100,0)),0))</f>
        <v/>
      </c>
      <c r="H327" s="78">
        <f>IF(OR($A327="",'Importar Reservas'!M319&lt;&gt;"Aprovado",$D327&lt;=0),"",MAX(0,IF($F327="Margem",$D327-$E327,$D327))*$G327)</f>
        <v/>
      </c>
    </row>
    <row r="328" ht="15" customHeight="1" s="79">
      <c r="A328" s="78">
        <f>IF('Importar Reservas'!A320="","",'Importar Reservas'!A320)</f>
        <v/>
      </c>
      <c r="B328" s="78">
        <f>IF($A328="","",'Importar Reservas'!B320)</f>
        <v/>
      </c>
      <c r="C328" s="78">
        <f>IF($A328="","",'Importar Reservas'!Z320)</f>
        <v/>
      </c>
      <c r="D328" s="78">
        <f>IF($A328="","",IF('Importar Reservas'!O320="",0,'Importar Reservas'!O320))</f>
        <v/>
      </c>
      <c r="E328" s="78">
        <f>IF($A328="","",IF('Importar Reservas'!N320="",0,'Importar Reservas'!N320))</f>
        <v/>
      </c>
      <c r="F328" s="78">
        <f>IF($A328="","",IFERROR(INDEX(Configurações!$C$5:$C$100,MATCH($C328,Configurações!$A$5:$A$100,0)),"Margem"))</f>
        <v/>
      </c>
      <c r="G328" s="78">
        <f>IF($A328="","",IFERROR(INDEX(Configurações!$B$5:$B$100,MATCH($C328,Configurações!$A$5:$A$100,0)),0))</f>
        <v/>
      </c>
      <c r="H328" s="78">
        <f>IF(OR($A328="",'Importar Reservas'!M320&lt;&gt;"Aprovado",$D328&lt;=0),"",MAX(0,IF($F328="Margem",$D328-$E328,$D328))*$G328)</f>
        <v/>
      </c>
    </row>
    <row r="329" ht="15" customHeight="1" s="79">
      <c r="A329" s="78">
        <f>IF('Importar Reservas'!A321="","",'Importar Reservas'!A321)</f>
        <v/>
      </c>
      <c r="B329" s="78">
        <f>IF($A329="","",'Importar Reservas'!B321)</f>
        <v/>
      </c>
      <c r="C329" s="78">
        <f>IF($A329="","",'Importar Reservas'!Z321)</f>
        <v/>
      </c>
      <c r="D329" s="78">
        <f>IF($A329="","",IF('Importar Reservas'!O321="",0,'Importar Reservas'!O321))</f>
        <v/>
      </c>
      <c r="E329" s="78">
        <f>IF($A329="","",IF('Importar Reservas'!N321="",0,'Importar Reservas'!N321))</f>
        <v/>
      </c>
      <c r="F329" s="78">
        <f>IF($A329="","",IFERROR(INDEX(Configurações!$C$5:$C$100,MATCH($C329,Configurações!$A$5:$A$100,0)),"Margem"))</f>
        <v/>
      </c>
      <c r="G329" s="78">
        <f>IF($A329="","",IFERROR(INDEX(Configurações!$B$5:$B$100,MATCH($C329,Configurações!$A$5:$A$100,0)),0))</f>
        <v/>
      </c>
      <c r="H329" s="78">
        <f>IF(OR($A329="",'Importar Reservas'!M321&lt;&gt;"Aprovado",$D329&lt;=0),"",MAX(0,IF($F329="Margem",$D329-$E329,$D329))*$G329)</f>
        <v/>
      </c>
    </row>
    <row r="330" ht="15" customHeight="1" s="79">
      <c r="A330" s="78">
        <f>IF('Importar Reservas'!A322="","",'Importar Reservas'!A322)</f>
        <v/>
      </c>
      <c r="B330" s="78">
        <f>IF($A330="","",'Importar Reservas'!B322)</f>
        <v/>
      </c>
      <c r="C330" s="78">
        <f>IF($A330="","",'Importar Reservas'!Z322)</f>
        <v/>
      </c>
      <c r="D330" s="78">
        <f>IF($A330="","",IF('Importar Reservas'!O322="",0,'Importar Reservas'!O322))</f>
        <v/>
      </c>
      <c r="E330" s="78">
        <f>IF($A330="","",IF('Importar Reservas'!N322="",0,'Importar Reservas'!N322))</f>
        <v/>
      </c>
      <c r="F330" s="78">
        <f>IF($A330="","",IFERROR(INDEX(Configurações!$C$5:$C$100,MATCH($C330,Configurações!$A$5:$A$100,0)),"Margem"))</f>
        <v/>
      </c>
      <c r="G330" s="78">
        <f>IF($A330="","",IFERROR(INDEX(Configurações!$B$5:$B$100,MATCH($C330,Configurações!$A$5:$A$100,0)),0))</f>
        <v/>
      </c>
      <c r="H330" s="78">
        <f>IF(OR($A330="",'Importar Reservas'!M322&lt;&gt;"Aprovado",$D330&lt;=0),"",MAX(0,IF($F330="Margem",$D330-$E330,$D330))*$G330)</f>
        <v/>
      </c>
    </row>
    <row r="331" ht="15" customHeight="1" s="79">
      <c r="A331" s="78">
        <f>IF('Importar Reservas'!A323="","",'Importar Reservas'!A323)</f>
        <v/>
      </c>
      <c r="B331" s="78">
        <f>IF($A331="","",'Importar Reservas'!B323)</f>
        <v/>
      </c>
      <c r="C331" s="78">
        <f>IF($A331="","",'Importar Reservas'!Z323)</f>
        <v/>
      </c>
      <c r="D331" s="78">
        <f>IF($A331="","",IF('Importar Reservas'!O323="",0,'Importar Reservas'!O323))</f>
        <v/>
      </c>
      <c r="E331" s="78">
        <f>IF($A331="","",IF('Importar Reservas'!N323="",0,'Importar Reservas'!N323))</f>
        <v/>
      </c>
      <c r="F331" s="78">
        <f>IF($A331="","",IFERROR(INDEX(Configurações!$C$5:$C$100,MATCH($C331,Configurações!$A$5:$A$100,0)),"Margem"))</f>
        <v/>
      </c>
      <c r="G331" s="78">
        <f>IF($A331="","",IFERROR(INDEX(Configurações!$B$5:$B$100,MATCH($C331,Configurações!$A$5:$A$100,0)),0))</f>
        <v/>
      </c>
      <c r="H331" s="78">
        <f>IF(OR($A331="",'Importar Reservas'!M323&lt;&gt;"Aprovado",$D331&lt;=0),"",MAX(0,IF($F331="Margem",$D331-$E331,$D331))*$G331)</f>
        <v/>
      </c>
    </row>
    <row r="332" ht="15" customHeight="1" s="79">
      <c r="A332" s="78">
        <f>IF('Importar Reservas'!A324="","",'Importar Reservas'!A324)</f>
        <v/>
      </c>
      <c r="B332" s="78">
        <f>IF($A332="","",'Importar Reservas'!B324)</f>
        <v/>
      </c>
      <c r="C332" s="78">
        <f>IF($A332="","",'Importar Reservas'!Z324)</f>
        <v/>
      </c>
      <c r="D332" s="78">
        <f>IF($A332="","",IF('Importar Reservas'!O324="",0,'Importar Reservas'!O324))</f>
        <v/>
      </c>
      <c r="E332" s="78">
        <f>IF($A332="","",IF('Importar Reservas'!N324="",0,'Importar Reservas'!N324))</f>
        <v/>
      </c>
      <c r="F332" s="78">
        <f>IF($A332="","",IFERROR(INDEX(Configurações!$C$5:$C$100,MATCH($C332,Configurações!$A$5:$A$100,0)),"Margem"))</f>
        <v/>
      </c>
      <c r="G332" s="78">
        <f>IF($A332="","",IFERROR(INDEX(Configurações!$B$5:$B$100,MATCH($C332,Configurações!$A$5:$A$100,0)),0))</f>
        <v/>
      </c>
      <c r="H332" s="78">
        <f>IF(OR($A332="",'Importar Reservas'!M324&lt;&gt;"Aprovado",$D332&lt;=0),"",MAX(0,IF($F332="Margem",$D332-$E332,$D332))*$G332)</f>
        <v/>
      </c>
    </row>
    <row r="333" ht="15" customHeight="1" s="79">
      <c r="A333" s="78">
        <f>IF('Importar Reservas'!A325="","",'Importar Reservas'!A325)</f>
        <v/>
      </c>
      <c r="B333" s="78">
        <f>IF($A333="","",'Importar Reservas'!B325)</f>
        <v/>
      </c>
      <c r="C333" s="78">
        <f>IF($A333="","",'Importar Reservas'!Z325)</f>
        <v/>
      </c>
      <c r="D333" s="78">
        <f>IF($A333="","",IF('Importar Reservas'!O325="",0,'Importar Reservas'!O325))</f>
        <v/>
      </c>
      <c r="E333" s="78">
        <f>IF($A333="","",IF('Importar Reservas'!N325="",0,'Importar Reservas'!N325))</f>
        <v/>
      </c>
      <c r="F333" s="78">
        <f>IF($A333="","",IFERROR(INDEX(Configurações!$C$5:$C$100,MATCH($C333,Configurações!$A$5:$A$100,0)),"Margem"))</f>
        <v/>
      </c>
      <c r="G333" s="78">
        <f>IF($A333="","",IFERROR(INDEX(Configurações!$B$5:$B$100,MATCH($C333,Configurações!$A$5:$A$100,0)),0))</f>
        <v/>
      </c>
      <c r="H333" s="78">
        <f>IF(OR($A333="",'Importar Reservas'!M325&lt;&gt;"Aprovado",$D333&lt;=0),"",MAX(0,IF($F333="Margem",$D333-$E333,$D333))*$G333)</f>
        <v/>
      </c>
    </row>
    <row r="334" ht="15" customHeight="1" s="79">
      <c r="A334" s="78">
        <f>IF('Importar Reservas'!A326="","",'Importar Reservas'!A326)</f>
        <v/>
      </c>
      <c r="B334" s="78">
        <f>IF($A334="","",'Importar Reservas'!B326)</f>
        <v/>
      </c>
      <c r="C334" s="78">
        <f>IF($A334="","",'Importar Reservas'!Z326)</f>
        <v/>
      </c>
      <c r="D334" s="78">
        <f>IF($A334="","",IF('Importar Reservas'!O326="",0,'Importar Reservas'!O326))</f>
        <v/>
      </c>
      <c r="E334" s="78">
        <f>IF($A334="","",IF('Importar Reservas'!N326="",0,'Importar Reservas'!N326))</f>
        <v/>
      </c>
      <c r="F334" s="78">
        <f>IF($A334="","",IFERROR(INDEX(Configurações!$C$5:$C$100,MATCH($C334,Configurações!$A$5:$A$100,0)),"Margem"))</f>
        <v/>
      </c>
      <c r="G334" s="78">
        <f>IF($A334="","",IFERROR(INDEX(Configurações!$B$5:$B$100,MATCH($C334,Configurações!$A$5:$A$100,0)),0))</f>
        <v/>
      </c>
      <c r="H334" s="78">
        <f>IF(OR($A334="",'Importar Reservas'!M326&lt;&gt;"Aprovado",$D334&lt;=0),"",MAX(0,IF($F334="Margem",$D334-$E334,$D334))*$G334)</f>
        <v/>
      </c>
    </row>
    <row r="335" ht="15" customHeight="1" s="79">
      <c r="A335" s="78">
        <f>IF('Importar Reservas'!A327="","",'Importar Reservas'!A327)</f>
        <v/>
      </c>
      <c r="B335" s="78">
        <f>IF($A335="","",'Importar Reservas'!B327)</f>
        <v/>
      </c>
      <c r="C335" s="78">
        <f>IF($A335="","",'Importar Reservas'!Z327)</f>
        <v/>
      </c>
      <c r="D335" s="78">
        <f>IF($A335="","",IF('Importar Reservas'!O327="",0,'Importar Reservas'!O327))</f>
        <v/>
      </c>
      <c r="E335" s="78">
        <f>IF($A335="","",IF('Importar Reservas'!N327="",0,'Importar Reservas'!N327))</f>
        <v/>
      </c>
      <c r="F335" s="78">
        <f>IF($A335="","",IFERROR(INDEX(Configurações!$C$5:$C$100,MATCH($C335,Configurações!$A$5:$A$100,0)),"Margem"))</f>
        <v/>
      </c>
      <c r="G335" s="78">
        <f>IF($A335="","",IFERROR(INDEX(Configurações!$B$5:$B$100,MATCH($C335,Configurações!$A$5:$A$100,0)),0))</f>
        <v/>
      </c>
      <c r="H335" s="78">
        <f>IF(OR($A335="",'Importar Reservas'!M327&lt;&gt;"Aprovado",$D335&lt;=0),"",MAX(0,IF($F335="Margem",$D335-$E335,$D335))*$G335)</f>
        <v/>
      </c>
    </row>
    <row r="336" ht="15" customHeight="1" s="79">
      <c r="A336" s="78">
        <f>IF('Importar Reservas'!A328="","",'Importar Reservas'!A328)</f>
        <v/>
      </c>
      <c r="B336" s="78">
        <f>IF($A336="","",'Importar Reservas'!B328)</f>
        <v/>
      </c>
      <c r="C336" s="78">
        <f>IF($A336="","",'Importar Reservas'!Z328)</f>
        <v/>
      </c>
      <c r="D336" s="78">
        <f>IF($A336="","",IF('Importar Reservas'!O328="",0,'Importar Reservas'!O328))</f>
        <v/>
      </c>
      <c r="E336" s="78">
        <f>IF($A336="","",IF('Importar Reservas'!N328="",0,'Importar Reservas'!N328))</f>
        <v/>
      </c>
      <c r="F336" s="78">
        <f>IF($A336="","",IFERROR(INDEX(Configurações!$C$5:$C$100,MATCH($C336,Configurações!$A$5:$A$100,0)),"Margem"))</f>
        <v/>
      </c>
      <c r="G336" s="78">
        <f>IF($A336="","",IFERROR(INDEX(Configurações!$B$5:$B$100,MATCH($C336,Configurações!$A$5:$A$100,0)),0))</f>
        <v/>
      </c>
      <c r="H336" s="78">
        <f>IF(OR($A336="",'Importar Reservas'!M328&lt;&gt;"Aprovado",$D336&lt;=0),"",MAX(0,IF($F336="Margem",$D336-$E336,$D336))*$G336)</f>
        <v/>
      </c>
    </row>
    <row r="337" ht="15" customHeight="1" s="79">
      <c r="A337" s="78">
        <f>IF('Importar Reservas'!A329="","",'Importar Reservas'!A329)</f>
        <v/>
      </c>
      <c r="B337" s="78">
        <f>IF($A337="","",'Importar Reservas'!B329)</f>
        <v/>
      </c>
      <c r="C337" s="78">
        <f>IF($A337="","",'Importar Reservas'!Z329)</f>
        <v/>
      </c>
      <c r="D337" s="78">
        <f>IF($A337="","",IF('Importar Reservas'!O329="",0,'Importar Reservas'!O329))</f>
        <v/>
      </c>
      <c r="E337" s="78">
        <f>IF($A337="","",IF('Importar Reservas'!N329="",0,'Importar Reservas'!N329))</f>
        <v/>
      </c>
      <c r="F337" s="78">
        <f>IF($A337="","",IFERROR(INDEX(Configurações!$C$5:$C$100,MATCH($C337,Configurações!$A$5:$A$100,0)),"Margem"))</f>
        <v/>
      </c>
      <c r="G337" s="78">
        <f>IF($A337="","",IFERROR(INDEX(Configurações!$B$5:$B$100,MATCH($C337,Configurações!$A$5:$A$100,0)),0))</f>
        <v/>
      </c>
      <c r="H337" s="78">
        <f>IF(OR($A337="",'Importar Reservas'!M329&lt;&gt;"Aprovado",$D337&lt;=0),"",MAX(0,IF($F337="Margem",$D337-$E337,$D337))*$G337)</f>
        <v/>
      </c>
    </row>
    <row r="338" ht="15" customHeight="1" s="79">
      <c r="A338" s="78">
        <f>IF('Importar Reservas'!A330="","",'Importar Reservas'!A330)</f>
        <v/>
      </c>
      <c r="B338" s="78">
        <f>IF($A338="","",'Importar Reservas'!B330)</f>
        <v/>
      </c>
      <c r="C338" s="78">
        <f>IF($A338="","",'Importar Reservas'!Z330)</f>
        <v/>
      </c>
      <c r="D338" s="78">
        <f>IF($A338="","",IF('Importar Reservas'!O330="",0,'Importar Reservas'!O330))</f>
        <v/>
      </c>
      <c r="E338" s="78">
        <f>IF($A338="","",IF('Importar Reservas'!N330="",0,'Importar Reservas'!N330))</f>
        <v/>
      </c>
      <c r="F338" s="78">
        <f>IF($A338="","",IFERROR(INDEX(Configurações!$C$5:$C$100,MATCH($C338,Configurações!$A$5:$A$100,0)),"Margem"))</f>
        <v/>
      </c>
      <c r="G338" s="78">
        <f>IF($A338="","",IFERROR(INDEX(Configurações!$B$5:$B$100,MATCH($C338,Configurações!$A$5:$A$100,0)),0))</f>
        <v/>
      </c>
      <c r="H338" s="78">
        <f>IF(OR($A338="",'Importar Reservas'!M330&lt;&gt;"Aprovado",$D338&lt;=0),"",MAX(0,IF($F338="Margem",$D338-$E338,$D338))*$G338)</f>
        <v/>
      </c>
    </row>
    <row r="339" ht="15" customHeight="1" s="79">
      <c r="A339" s="78">
        <f>IF('Importar Reservas'!A331="","",'Importar Reservas'!A331)</f>
        <v/>
      </c>
      <c r="B339" s="78">
        <f>IF($A339="","",'Importar Reservas'!B331)</f>
        <v/>
      </c>
      <c r="C339" s="78">
        <f>IF($A339="","",'Importar Reservas'!Z331)</f>
        <v/>
      </c>
      <c r="D339" s="78">
        <f>IF($A339="","",IF('Importar Reservas'!O331="",0,'Importar Reservas'!O331))</f>
        <v/>
      </c>
      <c r="E339" s="78">
        <f>IF($A339="","",IF('Importar Reservas'!N331="",0,'Importar Reservas'!N331))</f>
        <v/>
      </c>
      <c r="F339" s="78">
        <f>IF($A339="","",IFERROR(INDEX(Configurações!$C$5:$C$100,MATCH($C339,Configurações!$A$5:$A$100,0)),"Margem"))</f>
        <v/>
      </c>
      <c r="G339" s="78">
        <f>IF($A339="","",IFERROR(INDEX(Configurações!$B$5:$B$100,MATCH($C339,Configurações!$A$5:$A$100,0)),0))</f>
        <v/>
      </c>
      <c r="H339" s="78">
        <f>IF(OR($A339="",'Importar Reservas'!M331&lt;&gt;"Aprovado",$D339&lt;=0),"",MAX(0,IF($F339="Margem",$D339-$E339,$D339))*$G339)</f>
        <v/>
      </c>
    </row>
    <row r="340" ht="15" customHeight="1" s="79">
      <c r="A340" s="78">
        <f>IF('Importar Reservas'!A332="","",'Importar Reservas'!A332)</f>
        <v/>
      </c>
      <c r="B340" s="78">
        <f>IF($A340="","",'Importar Reservas'!B332)</f>
        <v/>
      </c>
      <c r="C340" s="78">
        <f>IF($A340="","",'Importar Reservas'!Z332)</f>
        <v/>
      </c>
      <c r="D340" s="78">
        <f>IF($A340="","",IF('Importar Reservas'!O332="",0,'Importar Reservas'!O332))</f>
        <v/>
      </c>
      <c r="E340" s="78">
        <f>IF($A340="","",IF('Importar Reservas'!N332="",0,'Importar Reservas'!N332))</f>
        <v/>
      </c>
      <c r="F340" s="78">
        <f>IF($A340="","",IFERROR(INDEX(Configurações!$C$5:$C$100,MATCH($C340,Configurações!$A$5:$A$100,0)),"Margem"))</f>
        <v/>
      </c>
      <c r="G340" s="78">
        <f>IF($A340="","",IFERROR(INDEX(Configurações!$B$5:$B$100,MATCH($C340,Configurações!$A$5:$A$100,0)),0))</f>
        <v/>
      </c>
      <c r="H340" s="78">
        <f>IF(OR($A340="",'Importar Reservas'!M332&lt;&gt;"Aprovado",$D340&lt;=0),"",MAX(0,IF($F340="Margem",$D340-$E340,$D340))*$G340)</f>
        <v/>
      </c>
    </row>
    <row r="341" ht="15" customHeight="1" s="79">
      <c r="A341" s="78">
        <f>IF('Importar Reservas'!A333="","",'Importar Reservas'!A333)</f>
        <v/>
      </c>
      <c r="B341" s="78">
        <f>IF($A341="","",'Importar Reservas'!B333)</f>
        <v/>
      </c>
      <c r="C341" s="78">
        <f>IF($A341="","",'Importar Reservas'!Z333)</f>
        <v/>
      </c>
      <c r="D341" s="78">
        <f>IF($A341="","",IF('Importar Reservas'!O333="",0,'Importar Reservas'!O333))</f>
        <v/>
      </c>
      <c r="E341" s="78">
        <f>IF($A341="","",IF('Importar Reservas'!N333="",0,'Importar Reservas'!N333))</f>
        <v/>
      </c>
      <c r="F341" s="78">
        <f>IF($A341="","",IFERROR(INDEX(Configurações!$C$5:$C$100,MATCH($C341,Configurações!$A$5:$A$100,0)),"Margem"))</f>
        <v/>
      </c>
      <c r="G341" s="78">
        <f>IF($A341="","",IFERROR(INDEX(Configurações!$B$5:$B$100,MATCH($C341,Configurações!$A$5:$A$100,0)),0))</f>
        <v/>
      </c>
      <c r="H341" s="78">
        <f>IF(OR($A341="",'Importar Reservas'!M333&lt;&gt;"Aprovado",$D341&lt;=0),"",MAX(0,IF($F341="Margem",$D341-$E341,$D341))*$G341)</f>
        <v/>
      </c>
    </row>
    <row r="342" ht="15" customHeight="1" s="79">
      <c r="A342" s="78">
        <f>IF('Importar Reservas'!A334="","",'Importar Reservas'!A334)</f>
        <v/>
      </c>
      <c r="B342" s="78">
        <f>IF($A342="","",'Importar Reservas'!B334)</f>
        <v/>
      </c>
      <c r="C342" s="78">
        <f>IF($A342="","",'Importar Reservas'!Z334)</f>
        <v/>
      </c>
      <c r="D342" s="78">
        <f>IF($A342="","",IF('Importar Reservas'!O334="",0,'Importar Reservas'!O334))</f>
        <v/>
      </c>
      <c r="E342" s="78">
        <f>IF($A342="","",IF('Importar Reservas'!N334="",0,'Importar Reservas'!N334))</f>
        <v/>
      </c>
      <c r="F342" s="78">
        <f>IF($A342="","",IFERROR(INDEX(Configurações!$C$5:$C$100,MATCH($C342,Configurações!$A$5:$A$100,0)),"Margem"))</f>
        <v/>
      </c>
      <c r="G342" s="78">
        <f>IF($A342="","",IFERROR(INDEX(Configurações!$B$5:$B$100,MATCH($C342,Configurações!$A$5:$A$100,0)),0))</f>
        <v/>
      </c>
      <c r="H342" s="78">
        <f>IF(OR($A342="",'Importar Reservas'!M334&lt;&gt;"Aprovado",$D342&lt;=0),"",MAX(0,IF($F342="Margem",$D342-$E342,$D342))*$G342)</f>
        <v/>
      </c>
    </row>
    <row r="343" ht="15" customHeight="1" s="79">
      <c r="A343" s="78">
        <f>IF('Importar Reservas'!A335="","",'Importar Reservas'!A335)</f>
        <v/>
      </c>
      <c r="B343" s="78">
        <f>IF($A343="","",'Importar Reservas'!B335)</f>
        <v/>
      </c>
      <c r="C343" s="78">
        <f>IF($A343="","",'Importar Reservas'!Z335)</f>
        <v/>
      </c>
      <c r="D343" s="78">
        <f>IF($A343="","",IF('Importar Reservas'!O335="",0,'Importar Reservas'!O335))</f>
        <v/>
      </c>
      <c r="E343" s="78">
        <f>IF($A343="","",IF('Importar Reservas'!N335="",0,'Importar Reservas'!N335))</f>
        <v/>
      </c>
      <c r="F343" s="78">
        <f>IF($A343="","",IFERROR(INDEX(Configurações!$C$5:$C$100,MATCH($C343,Configurações!$A$5:$A$100,0)),"Margem"))</f>
        <v/>
      </c>
      <c r="G343" s="78">
        <f>IF($A343="","",IFERROR(INDEX(Configurações!$B$5:$B$100,MATCH($C343,Configurações!$A$5:$A$100,0)),0))</f>
        <v/>
      </c>
      <c r="H343" s="78">
        <f>IF(OR($A343="",'Importar Reservas'!M335&lt;&gt;"Aprovado",$D343&lt;=0),"",MAX(0,IF($F343="Margem",$D343-$E343,$D343))*$G343)</f>
        <v/>
      </c>
    </row>
    <row r="344" ht="15" customHeight="1" s="79">
      <c r="A344" s="78">
        <f>IF('Importar Reservas'!A336="","",'Importar Reservas'!A336)</f>
        <v/>
      </c>
      <c r="B344" s="78">
        <f>IF($A344="","",'Importar Reservas'!B336)</f>
        <v/>
      </c>
      <c r="C344" s="78">
        <f>IF($A344="","",'Importar Reservas'!Z336)</f>
        <v/>
      </c>
      <c r="D344" s="78">
        <f>IF($A344="","",IF('Importar Reservas'!O336="",0,'Importar Reservas'!O336))</f>
        <v/>
      </c>
      <c r="E344" s="78">
        <f>IF($A344="","",IF('Importar Reservas'!N336="",0,'Importar Reservas'!N336))</f>
        <v/>
      </c>
      <c r="F344" s="78">
        <f>IF($A344="","",IFERROR(INDEX(Configurações!$C$5:$C$100,MATCH($C344,Configurações!$A$5:$A$100,0)),"Margem"))</f>
        <v/>
      </c>
      <c r="G344" s="78">
        <f>IF($A344="","",IFERROR(INDEX(Configurações!$B$5:$B$100,MATCH($C344,Configurações!$A$5:$A$100,0)),0))</f>
        <v/>
      </c>
      <c r="H344" s="78">
        <f>IF(OR($A344="",'Importar Reservas'!M336&lt;&gt;"Aprovado",$D344&lt;=0),"",MAX(0,IF($F344="Margem",$D344-$E344,$D344))*$G344)</f>
        <v/>
      </c>
    </row>
    <row r="345" ht="15" customHeight="1" s="79">
      <c r="A345" s="78">
        <f>IF('Importar Reservas'!A337="","",'Importar Reservas'!A337)</f>
        <v/>
      </c>
      <c r="B345" s="78">
        <f>IF($A345="","",'Importar Reservas'!B337)</f>
        <v/>
      </c>
      <c r="C345" s="78">
        <f>IF($A345="","",'Importar Reservas'!Z337)</f>
        <v/>
      </c>
      <c r="D345" s="78">
        <f>IF($A345="","",IF('Importar Reservas'!O337="",0,'Importar Reservas'!O337))</f>
        <v/>
      </c>
      <c r="E345" s="78">
        <f>IF($A345="","",IF('Importar Reservas'!N337="",0,'Importar Reservas'!N337))</f>
        <v/>
      </c>
      <c r="F345" s="78">
        <f>IF($A345="","",IFERROR(INDEX(Configurações!$C$5:$C$100,MATCH($C345,Configurações!$A$5:$A$100,0)),"Margem"))</f>
        <v/>
      </c>
      <c r="G345" s="78">
        <f>IF($A345="","",IFERROR(INDEX(Configurações!$B$5:$B$100,MATCH($C345,Configurações!$A$5:$A$100,0)),0))</f>
        <v/>
      </c>
      <c r="H345" s="78">
        <f>IF(OR($A345="",'Importar Reservas'!M337&lt;&gt;"Aprovado",$D345&lt;=0),"",MAX(0,IF($F345="Margem",$D345-$E345,$D345))*$G345)</f>
        <v/>
      </c>
    </row>
    <row r="346" ht="15" customHeight="1" s="79">
      <c r="A346" s="78">
        <f>IF('Importar Reservas'!A338="","",'Importar Reservas'!A338)</f>
        <v/>
      </c>
      <c r="B346" s="78">
        <f>IF($A346="","",'Importar Reservas'!B338)</f>
        <v/>
      </c>
      <c r="C346" s="78">
        <f>IF($A346="","",'Importar Reservas'!Z338)</f>
        <v/>
      </c>
      <c r="D346" s="78">
        <f>IF($A346="","",IF('Importar Reservas'!O338="",0,'Importar Reservas'!O338))</f>
        <v/>
      </c>
      <c r="E346" s="78">
        <f>IF($A346="","",IF('Importar Reservas'!N338="",0,'Importar Reservas'!N338))</f>
        <v/>
      </c>
      <c r="F346" s="78">
        <f>IF($A346="","",IFERROR(INDEX(Configurações!$C$5:$C$100,MATCH($C346,Configurações!$A$5:$A$100,0)),"Margem"))</f>
        <v/>
      </c>
      <c r="G346" s="78">
        <f>IF($A346="","",IFERROR(INDEX(Configurações!$B$5:$B$100,MATCH($C346,Configurações!$A$5:$A$100,0)),0))</f>
        <v/>
      </c>
      <c r="H346" s="78">
        <f>IF(OR($A346="",'Importar Reservas'!M338&lt;&gt;"Aprovado",$D346&lt;=0),"",MAX(0,IF($F346="Margem",$D346-$E346,$D346))*$G346)</f>
        <v/>
      </c>
    </row>
    <row r="347" ht="15" customHeight="1" s="79">
      <c r="A347" s="78">
        <f>IF('Importar Reservas'!A339="","",'Importar Reservas'!A339)</f>
        <v/>
      </c>
      <c r="B347" s="78">
        <f>IF($A347="","",'Importar Reservas'!B339)</f>
        <v/>
      </c>
      <c r="C347" s="78">
        <f>IF($A347="","",'Importar Reservas'!Z339)</f>
        <v/>
      </c>
      <c r="D347" s="78">
        <f>IF($A347="","",IF('Importar Reservas'!O339="",0,'Importar Reservas'!O339))</f>
        <v/>
      </c>
      <c r="E347" s="78">
        <f>IF($A347="","",IF('Importar Reservas'!N339="",0,'Importar Reservas'!N339))</f>
        <v/>
      </c>
      <c r="F347" s="78">
        <f>IF($A347="","",IFERROR(INDEX(Configurações!$C$5:$C$100,MATCH($C347,Configurações!$A$5:$A$100,0)),"Margem"))</f>
        <v/>
      </c>
      <c r="G347" s="78">
        <f>IF($A347="","",IFERROR(INDEX(Configurações!$B$5:$B$100,MATCH($C347,Configurações!$A$5:$A$100,0)),0))</f>
        <v/>
      </c>
      <c r="H347" s="78">
        <f>IF(OR($A347="",'Importar Reservas'!M339&lt;&gt;"Aprovado",$D347&lt;=0),"",MAX(0,IF($F347="Margem",$D347-$E347,$D347))*$G347)</f>
        <v/>
      </c>
    </row>
    <row r="348" ht="15" customHeight="1" s="79">
      <c r="A348" s="78">
        <f>IF('Importar Reservas'!A340="","",'Importar Reservas'!A340)</f>
        <v/>
      </c>
      <c r="B348" s="78">
        <f>IF($A348="","",'Importar Reservas'!B340)</f>
        <v/>
      </c>
      <c r="C348" s="78">
        <f>IF($A348="","",'Importar Reservas'!Z340)</f>
        <v/>
      </c>
      <c r="D348" s="78">
        <f>IF($A348="","",IF('Importar Reservas'!O340="",0,'Importar Reservas'!O340))</f>
        <v/>
      </c>
      <c r="E348" s="78">
        <f>IF($A348="","",IF('Importar Reservas'!N340="",0,'Importar Reservas'!N340))</f>
        <v/>
      </c>
      <c r="F348" s="78">
        <f>IF($A348="","",IFERROR(INDEX(Configurações!$C$5:$C$100,MATCH($C348,Configurações!$A$5:$A$100,0)),"Margem"))</f>
        <v/>
      </c>
      <c r="G348" s="78">
        <f>IF($A348="","",IFERROR(INDEX(Configurações!$B$5:$B$100,MATCH($C348,Configurações!$A$5:$A$100,0)),0))</f>
        <v/>
      </c>
      <c r="H348" s="78">
        <f>IF(OR($A348="",'Importar Reservas'!M340&lt;&gt;"Aprovado",$D348&lt;=0),"",MAX(0,IF($F348="Margem",$D348-$E348,$D348))*$G348)</f>
        <v/>
      </c>
    </row>
    <row r="349" ht="15" customHeight="1" s="79">
      <c r="A349" s="78">
        <f>IF('Importar Reservas'!A341="","",'Importar Reservas'!A341)</f>
        <v/>
      </c>
      <c r="B349" s="78">
        <f>IF($A349="","",'Importar Reservas'!B341)</f>
        <v/>
      </c>
      <c r="C349" s="78">
        <f>IF($A349="","",'Importar Reservas'!Z341)</f>
        <v/>
      </c>
      <c r="D349" s="78">
        <f>IF($A349="","",IF('Importar Reservas'!O341="",0,'Importar Reservas'!O341))</f>
        <v/>
      </c>
      <c r="E349" s="78">
        <f>IF($A349="","",IF('Importar Reservas'!N341="",0,'Importar Reservas'!N341))</f>
        <v/>
      </c>
      <c r="F349" s="78">
        <f>IF($A349="","",IFERROR(INDEX(Configurações!$C$5:$C$100,MATCH($C349,Configurações!$A$5:$A$100,0)),"Margem"))</f>
        <v/>
      </c>
      <c r="G349" s="78">
        <f>IF($A349="","",IFERROR(INDEX(Configurações!$B$5:$B$100,MATCH($C349,Configurações!$A$5:$A$100,0)),0))</f>
        <v/>
      </c>
      <c r="H349" s="78">
        <f>IF(OR($A349="",'Importar Reservas'!M341&lt;&gt;"Aprovado",$D349&lt;=0),"",MAX(0,IF($F349="Margem",$D349-$E349,$D349))*$G349)</f>
        <v/>
      </c>
    </row>
    <row r="350" ht="15" customHeight="1" s="79">
      <c r="A350" s="78">
        <f>IF('Importar Reservas'!A342="","",'Importar Reservas'!A342)</f>
        <v/>
      </c>
      <c r="B350" s="78">
        <f>IF($A350="","",'Importar Reservas'!B342)</f>
        <v/>
      </c>
      <c r="C350" s="78">
        <f>IF($A350="","",'Importar Reservas'!Z342)</f>
        <v/>
      </c>
      <c r="D350" s="78">
        <f>IF($A350="","",IF('Importar Reservas'!O342="",0,'Importar Reservas'!O342))</f>
        <v/>
      </c>
      <c r="E350" s="78">
        <f>IF($A350="","",IF('Importar Reservas'!N342="",0,'Importar Reservas'!N342))</f>
        <v/>
      </c>
      <c r="F350" s="78">
        <f>IF($A350="","",IFERROR(INDEX(Configurações!$C$5:$C$100,MATCH($C350,Configurações!$A$5:$A$100,0)),"Margem"))</f>
        <v/>
      </c>
      <c r="G350" s="78">
        <f>IF($A350="","",IFERROR(INDEX(Configurações!$B$5:$B$100,MATCH($C350,Configurações!$A$5:$A$100,0)),0))</f>
        <v/>
      </c>
      <c r="H350" s="78">
        <f>IF(OR($A350="",'Importar Reservas'!M342&lt;&gt;"Aprovado",$D350&lt;=0),"",MAX(0,IF($F350="Margem",$D350-$E350,$D350))*$G350)</f>
        <v/>
      </c>
    </row>
    <row r="351" ht="15" customHeight="1" s="79">
      <c r="A351" s="78">
        <f>IF('Importar Reservas'!A343="","",'Importar Reservas'!A343)</f>
        <v/>
      </c>
      <c r="B351" s="78">
        <f>IF($A351="","",'Importar Reservas'!B343)</f>
        <v/>
      </c>
      <c r="C351" s="78">
        <f>IF($A351="","",'Importar Reservas'!Z343)</f>
        <v/>
      </c>
      <c r="D351" s="78">
        <f>IF($A351="","",IF('Importar Reservas'!O343="",0,'Importar Reservas'!O343))</f>
        <v/>
      </c>
      <c r="E351" s="78">
        <f>IF($A351="","",IF('Importar Reservas'!N343="",0,'Importar Reservas'!N343))</f>
        <v/>
      </c>
      <c r="F351" s="78">
        <f>IF($A351="","",IFERROR(INDEX(Configurações!$C$5:$C$100,MATCH($C351,Configurações!$A$5:$A$100,0)),"Margem"))</f>
        <v/>
      </c>
      <c r="G351" s="78">
        <f>IF($A351="","",IFERROR(INDEX(Configurações!$B$5:$B$100,MATCH($C351,Configurações!$A$5:$A$100,0)),0))</f>
        <v/>
      </c>
      <c r="H351" s="78">
        <f>IF(OR($A351="",'Importar Reservas'!M343&lt;&gt;"Aprovado",$D351&lt;=0),"",MAX(0,IF($F351="Margem",$D351-$E351,$D351))*$G351)</f>
        <v/>
      </c>
    </row>
    <row r="352" ht="15" customHeight="1" s="79">
      <c r="A352" s="78">
        <f>IF('Importar Reservas'!A344="","",'Importar Reservas'!A344)</f>
        <v/>
      </c>
      <c r="B352" s="78">
        <f>IF($A352="","",'Importar Reservas'!B344)</f>
        <v/>
      </c>
      <c r="C352" s="78">
        <f>IF($A352="","",'Importar Reservas'!Z344)</f>
        <v/>
      </c>
      <c r="D352" s="78">
        <f>IF($A352="","",IF('Importar Reservas'!O344="",0,'Importar Reservas'!O344))</f>
        <v/>
      </c>
      <c r="E352" s="78">
        <f>IF($A352="","",IF('Importar Reservas'!N344="",0,'Importar Reservas'!N344))</f>
        <v/>
      </c>
      <c r="F352" s="78">
        <f>IF($A352="","",IFERROR(INDEX(Configurações!$C$5:$C$100,MATCH($C352,Configurações!$A$5:$A$100,0)),"Margem"))</f>
        <v/>
      </c>
      <c r="G352" s="78">
        <f>IF($A352="","",IFERROR(INDEX(Configurações!$B$5:$B$100,MATCH($C352,Configurações!$A$5:$A$100,0)),0))</f>
        <v/>
      </c>
      <c r="H352" s="78">
        <f>IF(OR($A352="",'Importar Reservas'!M344&lt;&gt;"Aprovado",$D352&lt;=0),"",MAX(0,IF($F352="Margem",$D352-$E352,$D352))*$G352)</f>
        <v/>
      </c>
    </row>
    <row r="353" ht="15" customHeight="1" s="79">
      <c r="A353" s="78">
        <f>IF('Importar Reservas'!A345="","",'Importar Reservas'!A345)</f>
        <v/>
      </c>
      <c r="B353" s="78">
        <f>IF($A353="","",'Importar Reservas'!B345)</f>
        <v/>
      </c>
      <c r="C353" s="78">
        <f>IF($A353="","",'Importar Reservas'!Z345)</f>
        <v/>
      </c>
      <c r="D353" s="78">
        <f>IF($A353="","",IF('Importar Reservas'!O345="",0,'Importar Reservas'!O345))</f>
        <v/>
      </c>
      <c r="E353" s="78">
        <f>IF($A353="","",IF('Importar Reservas'!N345="",0,'Importar Reservas'!N345))</f>
        <v/>
      </c>
      <c r="F353" s="78">
        <f>IF($A353="","",IFERROR(INDEX(Configurações!$C$5:$C$100,MATCH($C353,Configurações!$A$5:$A$100,0)),"Margem"))</f>
        <v/>
      </c>
      <c r="G353" s="78">
        <f>IF($A353="","",IFERROR(INDEX(Configurações!$B$5:$B$100,MATCH($C353,Configurações!$A$5:$A$100,0)),0))</f>
        <v/>
      </c>
      <c r="H353" s="78">
        <f>IF(OR($A353="",'Importar Reservas'!M345&lt;&gt;"Aprovado",$D353&lt;=0),"",MAX(0,IF($F353="Margem",$D353-$E353,$D353))*$G353)</f>
        <v/>
      </c>
    </row>
    <row r="354" ht="15" customHeight="1" s="79">
      <c r="A354" s="78">
        <f>IF('Importar Reservas'!A346="","",'Importar Reservas'!A346)</f>
        <v/>
      </c>
      <c r="B354" s="78">
        <f>IF($A354="","",'Importar Reservas'!B346)</f>
        <v/>
      </c>
      <c r="C354" s="78">
        <f>IF($A354="","",'Importar Reservas'!Z346)</f>
        <v/>
      </c>
      <c r="D354" s="78">
        <f>IF($A354="","",IF('Importar Reservas'!O346="",0,'Importar Reservas'!O346))</f>
        <v/>
      </c>
      <c r="E354" s="78">
        <f>IF($A354="","",IF('Importar Reservas'!N346="",0,'Importar Reservas'!N346))</f>
        <v/>
      </c>
      <c r="F354" s="78">
        <f>IF($A354="","",IFERROR(INDEX(Configurações!$C$5:$C$100,MATCH($C354,Configurações!$A$5:$A$100,0)),"Margem"))</f>
        <v/>
      </c>
      <c r="G354" s="78">
        <f>IF($A354="","",IFERROR(INDEX(Configurações!$B$5:$B$100,MATCH($C354,Configurações!$A$5:$A$100,0)),0))</f>
        <v/>
      </c>
      <c r="H354" s="78">
        <f>IF(OR($A354="",'Importar Reservas'!M346&lt;&gt;"Aprovado",$D354&lt;=0),"",MAX(0,IF($F354="Margem",$D354-$E354,$D354))*$G354)</f>
        <v/>
      </c>
    </row>
    <row r="355" ht="15" customHeight="1" s="79">
      <c r="A355" s="78">
        <f>IF('Importar Reservas'!A347="","",'Importar Reservas'!A347)</f>
        <v/>
      </c>
      <c r="B355" s="78">
        <f>IF($A355="","",'Importar Reservas'!B347)</f>
        <v/>
      </c>
      <c r="C355" s="78">
        <f>IF($A355="","",'Importar Reservas'!Z347)</f>
        <v/>
      </c>
      <c r="D355" s="78">
        <f>IF($A355="","",IF('Importar Reservas'!O347="",0,'Importar Reservas'!O347))</f>
        <v/>
      </c>
      <c r="E355" s="78">
        <f>IF($A355="","",IF('Importar Reservas'!N347="",0,'Importar Reservas'!N347))</f>
        <v/>
      </c>
      <c r="F355" s="78">
        <f>IF($A355="","",IFERROR(INDEX(Configurações!$C$5:$C$100,MATCH($C355,Configurações!$A$5:$A$100,0)),"Margem"))</f>
        <v/>
      </c>
      <c r="G355" s="78">
        <f>IF($A355="","",IFERROR(INDEX(Configurações!$B$5:$B$100,MATCH($C355,Configurações!$A$5:$A$100,0)),0))</f>
        <v/>
      </c>
      <c r="H355" s="78">
        <f>IF(OR($A355="",'Importar Reservas'!M347&lt;&gt;"Aprovado",$D355&lt;=0),"",MAX(0,IF($F355="Margem",$D355-$E355,$D355))*$G355)</f>
        <v/>
      </c>
    </row>
    <row r="356" ht="15" customHeight="1" s="79">
      <c r="A356" s="78">
        <f>IF('Importar Reservas'!A348="","",'Importar Reservas'!A348)</f>
        <v/>
      </c>
      <c r="B356" s="78">
        <f>IF($A356="","",'Importar Reservas'!B348)</f>
        <v/>
      </c>
      <c r="C356" s="78">
        <f>IF($A356="","",'Importar Reservas'!Z348)</f>
        <v/>
      </c>
      <c r="D356" s="78">
        <f>IF($A356="","",IF('Importar Reservas'!O348="",0,'Importar Reservas'!O348))</f>
        <v/>
      </c>
      <c r="E356" s="78">
        <f>IF($A356="","",IF('Importar Reservas'!N348="",0,'Importar Reservas'!N348))</f>
        <v/>
      </c>
      <c r="F356" s="78">
        <f>IF($A356="","",IFERROR(INDEX(Configurações!$C$5:$C$100,MATCH($C356,Configurações!$A$5:$A$100,0)),"Margem"))</f>
        <v/>
      </c>
      <c r="G356" s="78">
        <f>IF($A356="","",IFERROR(INDEX(Configurações!$B$5:$B$100,MATCH($C356,Configurações!$A$5:$A$100,0)),0))</f>
        <v/>
      </c>
      <c r="H356" s="78">
        <f>IF(OR($A356="",'Importar Reservas'!M348&lt;&gt;"Aprovado",$D356&lt;=0),"",MAX(0,IF($F356="Margem",$D356-$E356,$D356))*$G356)</f>
        <v/>
      </c>
    </row>
    <row r="357" ht="15" customHeight="1" s="79">
      <c r="A357" s="78">
        <f>IF('Importar Reservas'!A349="","",'Importar Reservas'!A349)</f>
        <v/>
      </c>
      <c r="B357" s="78">
        <f>IF($A357="","",'Importar Reservas'!B349)</f>
        <v/>
      </c>
      <c r="C357" s="78">
        <f>IF($A357="","",'Importar Reservas'!Z349)</f>
        <v/>
      </c>
      <c r="D357" s="78">
        <f>IF($A357="","",IF('Importar Reservas'!O349="",0,'Importar Reservas'!O349))</f>
        <v/>
      </c>
      <c r="E357" s="78">
        <f>IF($A357="","",IF('Importar Reservas'!N349="",0,'Importar Reservas'!N349))</f>
        <v/>
      </c>
      <c r="F357" s="78">
        <f>IF($A357="","",IFERROR(INDEX(Configurações!$C$5:$C$100,MATCH($C357,Configurações!$A$5:$A$100,0)),"Margem"))</f>
        <v/>
      </c>
      <c r="G357" s="78">
        <f>IF($A357="","",IFERROR(INDEX(Configurações!$B$5:$B$100,MATCH($C357,Configurações!$A$5:$A$100,0)),0))</f>
        <v/>
      </c>
      <c r="H357" s="78">
        <f>IF(OR($A357="",'Importar Reservas'!M349&lt;&gt;"Aprovado",$D357&lt;=0),"",MAX(0,IF($F357="Margem",$D357-$E357,$D357))*$G357)</f>
        <v/>
      </c>
    </row>
    <row r="358" ht="15" customHeight="1" s="79">
      <c r="A358" s="78">
        <f>IF('Importar Reservas'!A350="","",'Importar Reservas'!A350)</f>
        <v/>
      </c>
      <c r="B358" s="78">
        <f>IF($A358="","",'Importar Reservas'!B350)</f>
        <v/>
      </c>
      <c r="C358" s="78">
        <f>IF($A358="","",'Importar Reservas'!Z350)</f>
        <v/>
      </c>
      <c r="D358" s="78">
        <f>IF($A358="","",IF('Importar Reservas'!O350="",0,'Importar Reservas'!O350))</f>
        <v/>
      </c>
      <c r="E358" s="78">
        <f>IF($A358="","",IF('Importar Reservas'!N350="",0,'Importar Reservas'!N350))</f>
        <v/>
      </c>
      <c r="F358" s="78">
        <f>IF($A358="","",IFERROR(INDEX(Configurações!$C$5:$C$100,MATCH($C358,Configurações!$A$5:$A$100,0)),"Margem"))</f>
        <v/>
      </c>
      <c r="G358" s="78">
        <f>IF($A358="","",IFERROR(INDEX(Configurações!$B$5:$B$100,MATCH($C358,Configurações!$A$5:$A$100,0)),0))</f>
        <v/>
      </c>
      <c r="H358" s="78">
        <f>IF(OR($A358="",'Importar Reservas'!M350&lt;&gt;"Aprovado",$D358&lt;=0),"",MAX(0,IF($F358="Margem",$D358-$E358,$D358))*$G358)</f>
        <v/>
      </c>
    </row>
    <row r="359" ht="15" customHeight="1" s="79">
      <c r="A359" s="78">
        <f>IF('Importar Reservas'!A351="","",'Importar Reservas'!A351)</f>
        <v/>
      </c>
      <c r="B359" s="78">
        <f>IF($A359="","",'Importar Reservas'!B351)</f>
        <v/>
      </c>
      <c r="C359" s="78">
        <f>IF($A359="","",'Importar Reservas'!Z351)</f>
        <v/>
      </c>
      <c r="D359" s="78">
        <f>IF($A359="","",IF('Importar Reservas'!O351="",0,'Importar Reservas'!O351))</f>
        <v/>
      </c>
      <c r="E359" s="78">
        <f>IF($A359="","",IF('Importar Reservas'!N351="",0,'Importar Reservas'!N351))</f>
        <v/>
      </c>
      <c r="F359" s="78">
        <f>IF($A359="","",IFERROR(INDEX(Configurações!$C$5:$C$100,MATCH($C359,Configurações!$A$5:$A$100,0)),"Margem"))</f>
        <v/>
      </c>
      <c r="G359" s="78">
        <f>IF($A359="","",IFERROR(INDEX(Configurações!$B$5:$B$100,MATCH($C359,Configurações!$A$5:$A$100,0)),0))</f>
        <v/>
      </c>
      <c r="H359" s="78">
        <f>IF(OR($A359="",'Importar Reservas'!M351&lt;&gt;"Aprovado",$D359&lt;=0),"",MAX(0,IF($F359="Margem",$D359-$E359,$D359))*$G359)</f>
        <v/>
      </c>
    </row>
    <row r="360" ht="15" customHeight="1" s="79">
      <c r="A360" s="78">
        <f>IF('Importar Reservas'!A352="","",'Importar Reservas'!A352)</f>
        <v/>
      </c>
      <c r="B360" s="78">
        <f>IF($A360="","",'Importar Reservas'!B352)</f>
        <v/>
      </c>
      <c r="C360" s="78">
        <f>IF($A360="","",'Importar Reservas'!Z352)</f>
        <v/>
      </c>
      <c r="D360" s="78">
        <f>IF($A360="","",IF('Importar Reservas'!O352="",0,'Importar Reservas'!O352))</f>
        <v/>
      </c>
      <c r="E360" s="78">
        <f>IF($A360="","",IF('Importar Reservas'!N352="",0,'Importar Reservas'!N352))</f>
        <v/>
      </c>
      <c r="F360" s="78">
        <f>IF($A360="","",IFERROR(INDEX(Configurações!$C$5:$C$100,MATCH($C360,Configurações!$A$5:$A$100,0)),"Margem"))</f>
        <v/>
      </c>
      <c r="G360" s="78">
        <f>IF($A360="","",IFERROR(INDEX(Configurações!$B$5:$B$100,MATCH($C360,Configurações!$A$5:$A$100,0)),0))</f>
        <v/>
      </c>
      <c r="H360" s="78">
        <f>IF(OR($A360="",'Importar Reservas'!M352&lt;&gt;"Aprovado",$D360&lt;=0),"",MAX(0,IF($F360="Margem",$D360-$E360,$D360))*$G360)</f>
        <v/>
      </c>
    </row>
    <row r="361" ht="15" customHeight="1" s="79">
      <c r="A361" s="78">
        <f>IF('Importar Reservas'!A353="","",'Importar Reservas'!A353)</f>
        <v/>
      </c>
      <c r="B361" s="78">
        <f>IF($A361="","",'Importar Reservas'!B353)</f>
        <v/>
      </c>
      <c r="C361" s="78">
        <f>IF($A361="","",'Importar Reservas'!Z353)</f>
        <v/>
      </c>
      <c r="D361" s="78">
        <f>IF($A361="","",IF('Importar Reservas'!O353="",0,'Importar Reservas'!O353))</f>
        <v/>
      </c>
      <c r="E361" s="78">
        <f>IF($A361="","",IF('Importar Reservas'!N353="",0,'Importar Reservas'!N353))</f>
        <v/>
      </c>
      <c r="F361" s="78">
        <f>IF($A361="","",IFERROR(INDEX(Configurações!$C$5:$C$100,MATCH($C361,Configurações!$A$5:$A$100,0)),"Margem"))</f>
        <v/>
      </c>
      <c r="G361" s="78">
        <f>IF($A361="","",IFERROR(INDEX(Configurações!$B$5:$B$100,MATCH($C361,Configurações!$A$5:$A$100,0)),0))</f>
        <v/>
      </c>
      <c r="H361" s="78">
        <f>IF(OR($A361="",'Importar Reservas'!M353&lt;&gt;"Aprovado",$D361&lt;=0),"",MAX(0,IF($F361="Margem",$D361-$E361,$D361))*$G361)</f>
        <v/>
      </c>
    </row>
    <row r="362" ht="15" customHeight="1" s="79">
      <c r="A362" s="78">
        <f>IF('Importar Reservas'!A354="","",'Importar Reservas'!A354)</f>
        <v/>
      </c>
      <c r="B362" s="78">
        <f>IF($A362="","",'Importar Reservas'!B354)</f>
        <v/>
      </c>
      <c r="C362" s="78">
        <f>IF($A362="","",'Importar Reservas'!Z354)</f>
        <v/>
      </c>
      <c r="D362" s="78">
        <f>IF($A362="","",IF('Importar Reservas'!O354="",0,'Importar Reservas'!O354))</f>
        <v/>
      </c>
      <c r="E362" s="78">
        <f>IF($A362="","",IF('Importar Reservas'!N354="",0,'Importar Reservas'!N354))</f>
        <v/>
      </c>
      <c r="F362" s="78">
        <f>IF($A362="","",IFERROR(INDEX(Configurações!$C$5:$C$100,MATCH($C362,Configurações!$A$5:$A$100,0)),"Margem"))</f>
        <v/>
      </c>
      <c r="G362" s="78">
        <f>IF($A362="","",IFERROR(INDEX(Configurações!$B$5:$B$100,MATCH($C362,Configurações!$A$5:$A$100,0)),0))</f>
        <v/>
      </c>
      <c r="H362" s="78">
        <f>IF(OR($A362="",'Importar Reservas'!M354&lt;&gt;"Aprovado",$D362&lt;=0),"",MAX(0,IF($F362="Margem",$D362-$E362,$D362))*$G362)</f>
        <v/>
      </c>
    </row>
    <row r="363" ht="15" customHeight="1" s="79">
      <c r="A363" s="78">
        <f>IF('Importar Reservas'!A355="","",'Importar Reservas'!A355)</f>
        <v/>
      </c>
      <c r="B363" s="78">
        <f>IF($A363="","",'Importar Reservas'!B355)</f>
        <v/>
      </c>
      <c r="C363" s="78">
        <f>IF($A363="","",'Importar Reservas'!Z355)</f>
        <v/>
      </c>
      <c r="D363" s="78">
        <f>IF($A363="","",IF('Importar Reservas'!O355="",0,'Importar Reservas'!O355))</f>
        <v/>
      </c>
      <c r="E363" s="78">
        <f>IF($A363="","",IF('Importar Reservas'!N355="",0,'Importar Reservas'!N355))</f>
        <v/>
      </c>
      <c r="F363" s="78">
        <f>IF($A363="","",IFERROR(INDEX(Configurações!$C$5:$C$100,MATCH($C363,Configurações!$A$5:$A$100,0)),"Margem"))</f>
        <v/>
      </c>
      <c r="G363" s="78">
        <f>IF($A363="","",IFERROR(INDEX(Configurações!$B$5:$B$100,MATCH($C363,Configurações!$A$5:$A$100,0)),0))</f>
        <v/>
      </c>
      <c r="H363" s="78">
        <f>IF(OR($A363="",'Importar Reservas'!M355&lt;&gt;"Aprovado",$D363&lt;=0),"",MAX(0,IF($F363="Margem",$D363-$E363,$D363))*$G363)</f>
        <v/>
      </c>
    </row>
    <row r="364" ht="15" customHeight="1" s="79">
      <c r="A364" s="78">
        <f>IF('Importar Reservas'!A356="","",'Importar Reservas'!A356)</f>
        <v/>
      </c>
      <c r="B364" s="78">
        <f>IF($A364="","",'Importar Reservas'!B356)</f>
        <v/>
      </c>
      <c r="C364" s="78">
        <f>IF($A364="","",'Importar Reservas'!Z356)</f>
        <v/>
      </c>
      <c r="D364" s="78">
        <f>IF($A364="","",IF('Importar Reservas'!O356="",0,'Importar Reservas'!O356))</f>
        <v/>
      </c>
      <c r="E364" s="78">
        <f>IF($A364="","",IF('Importar Reservas'!N356="",0,'Importar Reservas'!N356))</f>
        <v/>
      </c>
      <c r="F364" s="78">
        <f>IF($A364="","",IFERROR(INDEX(Configurações!$C$5:$C$100,MATCH($C364,Configurações!$A$5:$A$100,0)),"Margem"))</f>
        <v/>
      </c>
      <c r="G364" s="78">
        <f>IF($A364="","",IFERROR(INDEX(Configurações!$B$5:$B$100,MATCH($C364,Configurações!$A$5:$A$100,0)),0))</f>
        <v/>
      </c>
      <c r="H364" s="78">
        <f>IF(OR($A364="",'Importar Reservas'!M356&lt;&gt;"Aprovado",$D364&lt;=0),"",MAX(0,IF($F364="Margem",$D364-$E364,$D364))*$G364)</f>
        <v/>
      </c>
    </row>
    <row r="365" ht="15" customHeight="1" s="79">
      <c r="A365" s="78">
        <f>IF('Importar Reservas'!A357="","",'Importar Reservas'!A357)</f>
        <v/>
      </c>
      <c r="B365" s="78">
        <f>IF($A365="","",'Importar Reservas'!B357)</f>
        <v/>
      </c>
      <c r="C365" s="78">
        <f>IF($A365="","",'Importar Reservas'!Z357)</f>
        <v/>
      </c>
      <c r="D365" s="78">
        <f>IF($A365="","",IF('Importar Reservas'!O357="",0,'Importar Reservas'!O357))</f>
        <v/>
      </c>
      <c r="E365" s="78">
        <f>IF($A365="","",IF('Importar Reservas'!N357="",0,'Importar Reservas'!N357))</f>
        <v/>
      </c>
      <c r="F365" s="78">
        <f>IF($A365="","",IFERROR(INDEX(Configurações!$C$5:$C$100,MATCH($C365,Configurações!$A$5:$A$100,0)),"Margem"))</f>
        <v/>
      </c>
      <c r="G365" s="78">
        <f>IF($A365="","",IFERROR(INDEX(Configurações!$B$5:$B$100,MATCH($C365,Configurações!$A$5:$A$100,0)),0))</f>
        <v/>
      </c>
      <c r="H365" s="78">
        <f>IF(OR($A365="",'Importar Reservas'!M357&lt;&gt;"Aprovado",$D365&lt;=0),"",MAX(0,IF($F365="Margem",$D365-$E365,$D365))*$G365)</f>
        <v/>
      </c>
    </row>
    <row r="366" ht="15" customHeight="1" s="79">
      <c r="A366" s="78">
        <f>IF('Importar Reservas'!A358="","",'Importar Reservas'!A358)</f>
        <v/>
      </c>
      <c r="B366" s="78">
        <f>IF($A366="","",'Importar Reservas'!B358)</f>
        <v/>
      </c>
      <c r="C366" s="78">
        <f>IF($A366="","",'Importar Reservas'!Z358)</f>
        <v/>
      </c>
      <c r="D366" s="78">
        <f>IF($A366="","",IF('Importar Reservas'!O358="",0,'Importar Reservas'!O358))</f>
        <v/>
      </c>
      <c r="E366" s="78">
        <f>IF($A366="","",IF('Importar Reservas'!N358="",0,'Importar Reservas'!N358))</f>
        <v/>
      </c>
      <c r="F366" s="78">
        <f>IF($A366="","",IFERROR(INDEX(Configurações!$C$5:$C$100,MATCH($C366,Configurações!$A$5:$A$100,0)),"Margem"))</f>
        <v/>
      </c>
      <c r="G366" s="78">
        <f>IF($A366="","",IFERROR(INDEX(Configurações!$B$5:$B$100,MATCH($C366,Configurações!$A$5:$A$100,0)),0))</f>
        <v/>
      </c>
      <c r="H366" s="78">
        <f>IF(OR($A366="",'Importar Reservas'!M358&lt;&gt;"Aprovado",$D366&lt;=0),"",MAX(0,IF($F366="Margem",$D366-$E366,$D366))*$G366)</f>
        <v/>
      </c>
    </row>
    <row r="367" ht="15" customHeight="1" s="79">
      <c r="A367" s="78">
        <f>IF('Importar Reservas'!A359="","",'Importar Reservas'!A359)</f>
        <v/>
      </c>
      <c r="B367" s="78">
        <f>IF($A367="","",'Importar Reservas'!B359)</f>
        <v/>
      </c>
      <c r="C367" s="78">
        <f>IF($A367="","",'Importar Reservas'!Z359)</f>
        <v/>
      </c>
      <c r="D367" s="78">
        <f>IF($A367="","",IF('Importar Reservas'!O359="",0,'Importar Reservas'!O359))</f>
        <v/>
      </c>
      <c r="E367" s="78">
        <f>IF($A367="","",IF('Importar Reservas'!N359="",0,'Importar Reservas'!N359))</f>
        <v/>
      </c>
      <c r="F367" s="78">
        <f>IF($A367="","",IFERROR(INDEX(Configurações!$C$5:$C$100,MATCH($C367,Configurações!$A$5:$A$100,0)),"Margem"))</f>
        <v/>
      </c>
      <c r="G367" s="78">
        <f>IF($A367="","",IFERROR(INDEX(Configurações!$B$5:$B$100,MATCH($C367,Configurações!$A$5:$A$100,0)),0))</f>
        <v/>
      </c>
      <c r="H367" s="78">
        <f>IF(OR($A367="",'Importar Reservas'!M359&lt;&gt;"Aprovado",$D367&lt;=0),"",MAX(0,IF($F367="Margem",$D367-$E367,$D367))*$G367)</f>
        <v/>
      </c>
    </row>
    <row r="368" ht="15" customHeight="1" s="79">
      <c r="A368" s="78">
        <f>IF('Importar Reservas'!A360="","",'Importar Reservas'!A360)</f>
        <v/>
      </c>
      <c r="B368" s="78">
        <f>IF($A368="","",'Importar Reservas'!B360)</f>
        <v/>
      </c>
      <c r="C368" s="78">
        <f>IF($A368="","",'Importar Reservas'!Z360)</f>
        <v/>
      </c>
      <c r="D368" s="78">
        <f>IF($A368="","",IF('Importar Reservas'!O360="",0,'Importar Reservas'!O360))</f>
        <v/>
      </c>
      <c r="E368" s="78">
        <f>IF($A368="","",IF('Importar Reservas'!N360="",0,'Importar Reservas'!N360))</f>
        <v/>
      </c>
      <c r="F368" s="78">
        <f>IF($A368="","",IFERROR(INDEX(Configurações!$C$5:$C$100,MATCH($C368,Configurações!$A$5:$A$100,0)),"Margem"))</f>
        <v/>
      </c>
      <c r="G368" s="78">
        <f>IF($A368="","",IFERROR(INDEX(Configurações!$B$5:$B$100,MATCH($C368,Configurações!$A$5:$A$100,0)),0))</f>
        <v/>
      </c>
      <c r="H368" s="78">
        <f>IF(OR($A368="",'Importar Reservas'!M360&lt;&gt;"Aprovado",$D368&lt;=0),"",MAX(0,IF($F368="Margem",$D368-$E368,$D368))*$G368)</f>
        <v/>
      </c>
    </row>
    <row r="369" ht="15" customHeight="1" s="79">
      <c r="A369" s="78">
        <f>IF('Importar Reservas'!A361="","",'Importar Reservas'!A361)</f>
        <v/>
      </c>
      <c r="B369" s="78">
        <f>IF($A369="","",'Importar Reservas'!B361)</f>
        <v/>
      </c>
      <c r="C369" s="78">
        <f>IF($A369="","",'Importar Reservas'!Z361)</f>
        <v/>
      </c>
      <c r="D369" s="78">
        <f>IF($A369="","",IF('Importar Reservas'!O361="",0,'Importar Reservas'!O361))</f>
        <v/>
      </c>
      <c r="E369" s="78">
        <f>IF($A369="","",IF('Importar Reservas'!N361="",0,'Importar Reservas'!N361))</f>
        <v/>
      </c>
      <c r="F369" s="78">
        <f>IF($A369="","",IFERROR(INDEX(Configurações!$C$5:$C$100,MATCH($C369,Configurações!$A$5:$A$100,0)),"Margem"))</f>
        <v/>
      </c>
      <c r="G369" s="78">
        <f>IF($A369="","",IFERROR(INDEX(Configurações!$B$5:$B$100,MATCH($C369,Configurações!$A$5:$A$100,0)),0))</f>
        <v/>
      </c>
      <c r="H369" s="78">
        <f>IF(OR($A369="",'Importar Reservas'!M361&lt;&gt;"Aprovado",$D369&lt;=0),"",MAX(0,IF($F369="Margem",$D369-$E369,$D369))*$G369)</f>
        <v/>
      </c>
    </row>
    <row r="370" ht="15" customHeight="1" s="79">
      <c r="A370" s="78">
        <f>IF('Importar Reservas'!A362="","",'Importar Reservas'!A362)</f>
        <v/>
      </c>
      <c r="B370" s="78">
        <f>IF($A370="","",'Importar Reservas'!B362)</f>
        <v/>
      </c>
      <c r="C370" s="78">
        <f>IF($A370="","",'Importar Reservas'!Z362)</f>
        <v/>
      </c>
      <c r="D370" s="78">
        <f>IF($A370="","",IF('Importar Reservas'!O362="",0,'Importar Reservas'!O362))</f>
        <v/>
      </c>
      <c r="E370" s="78">
        <f>IF($A370="","",IF('Importar Reservas'!N362="",0,'Importar Reservas'!N362))</f>
        <v/>
      </c>
      <c r="F370" s="78">
        <f>IF($A370="","",IFERROR(INDEX(Configurações!$C$5:$C$100,MATCH($C370,Configurações!$A$5:$A$100,0)),"Margem"))</f>
        <v/>
      </c>
      <c r="G370" s="78">
        <f>IF($A370="","",IFERROR(INDEX(Configurações!$B$5:$B$100,MATCH($C370,Configurações!$A$5:$A$100,0)),0))</f>
        <v/>
      </c>
      <c r="H370" s="78">
        <f>IF(OR($A370="",'Importar Reservas'!M362&lt;&gt;"Aprovado",$D370&lt;=0),"",MAX(0,IF($F370="Margem",$D370-$E370,$D370))*$G370)</f>
        <v/>
      </c>
    </row>
    <row r="371" ht="15" customHeight="1" s="79">
      <c r="A371" s="78">
        <f>IF('Importar Reservas'!A363="","",'Importar Reservas'!A363)</f>
        <v/>
      </c>
      <c r="B371" s="78">
        <f>IF($A371="","",'Importar Reservas'!B363)</f>
        <v/>
      </c>
      <c r="C371" s="78">
        <f>IF($A371="","",'Importar Reservas'!Z363)</f>
        <v/>
      </c>
      <c r="D371" s="78">
        <f>IF($A371="","",IF('Importar Reservas'!O363="",0,'Importar Reservas'!O363))</f>
        <v/>
      </c>
      <c r="E371" s="78">
        <f>IF($A371="","",IF('Importar Reservas'!N363="",0,'Importar Reservas'!N363))</f>
        <v/>
      </c>
      <c r="F371" s="78">
        <f>IF($A371="","",IFERROR(INDEX(Configurações!$C$5:$C$100,MATCH($C371,Configurações!$A$5:$A$100,0)),"Margem"))</f>
        <v/>
      </c>
      <c r="G371" s="78">
        <f>IF($A371="","",IFERROR(INDEX(Configurações!$B$5:$B$100,MATCH($C371,Configurações!$A$5:$A$100,0)),0))</f>
        <v/>
      </c>
      <c r="H371" s="78">
        <f>IF(OR($A371="",'Importar Reservas'!M363&lt;&gt;"Aprovado",$D371&lt;=0),"",MAX(0,IF($F371="Margem",$D371-$E371,$D371))*$G371)</f>
        <v/>
      </c>
    </row>
    <row r="372" ht="15" customHeight="1" s="79">
      <c r="A372" s="78">
        <f>IF('Importar Reservas'!A364="","",'Importar Reservas'!A364)</f>
        <v/>
      </c>
      <c r="B372" s="78">
        <f>IF($A372="","",'Importar Reservas'!B364)</f>
        <v/>
      </c>
      <c r="C372" s="78">
        <f>IF($A372="","",'Importar Reservas'!Z364)</f>
        <v/>
      </c>
      <c r="D372" s="78">
        <f>IF($A372="","",IF('Importar Reservas'!O364="",0,'Importar Reservas'!O364))</f>
        <v/>
      </c>
      <c r="E372" s="78">
        <f>IF($A372="","",IF('Importar Reservas'!N364="",0,'Importar Reservas'!N364))</f>
        <v/>
      </c>
      <c r="F372" s="78">
        <f>IF($A372="","",IFERROR(INDEX(Configurações!$C$5:$C$100,MATCH($C372,Configurações!$A$5:$A$100,0)),"Margem"))</f>
        <v/>
      </c>
      <c r="G372" s="78">
        <f>IF($A372="","",IFERROR(INDEX(Configurações!$B$5:$B$100,MATCH($C372,Configurações!$A$5:$A$100,0)),0))</f>
        <v/>
      </c>
      <c r="H372" s="78">
        <f>IF(OR($A372="",'Importar Reservas'!M364&lt;&gt;"Aprovado",$D372&lt;=0),"",MAX(0,IF($F372="Margem",$D372-$E372,$D372))*$G372)</f>
        <v/>
      </c>
    </row>
    <row r="373" ht="15" customHeight="1" s="79">
      <c r="A373" s="78">
        <f>IF('Importar Reservas'!A365="","",'Importar Reservas'!A365)</f>
        <v/>
      </c>
      <c r="B373" s="78">
        <f>IF($A373="","",'Importar Reservas'!B365)</f>
        <v/>
      </c>
      <c r="C373" s="78">
        <f>IF($A373="","",'Importar Reservas'!Z365)</f>
        <v/>
      </c>
      <c r="D373" s="78">
        <f>IF($A373="","",IF('Importar Reservas'!O365="",0,'Importar Reservas'!O365))</f>
        <v/>
      </c>
      <c r="E373" s="78">
        <f>IF($A373="","",IF('Importar Reservas'!N365="",0,'Importar Reservas'!N365))</f>
        <v/>
      </c>
      <c r="F373" s="78">
        <f>IF($A373="","",IFERROR(INDEX(Configurações!$C$5:$C$100,MATCH($C373,Configurações!$A$5:$A$100,0)),"Margem"))</f>
        <v/>
      </c>
      <c r="G373" s="78">
        <f>IF($A373="","",IFERROR(INDEX(Configurações!$B$5:$B$100,MATCH($C373,Configurações!$A$5:$A$100,0)),0))</f>
        <v/>
      </c>
      <c r="H373" s="78">
        <f>IF(OR($A373="",'Importar Reservas'!M365&lt;&gt;"Aprovado",$D373&lt;=0),"",MAX(0,IF($F373="Margem",$D373-$E373,$D373))*$G373)</f>
        <v/>
      </c>
    </row>
    <row r="374" ht="15" customHeight="1" s="79">
      <c r="A374" s="78">
        <f>IF('Importar Reservas'!A366="","",'Importar Reservas'!A366)</f>
        <v/>
      </c>
      <c r="B374" s="78">
        <f>IF($A374="","",'Importar Reservas'!B366)</f>
        <v/>
      </c>
      <c r="C374" s="78">
        <f>IF($A374="","",'Importar Reservas'!Z366)</f>
        <v/>
      </c>
      <c r="D374" s="78">
        <f>IF($A374="","",IF('Importar Reservas'!O366="",0,'Importar Reservas'!O366))</f>
        <v/>
      </c>
      <c r="E374" s="78">
        <f>IF($A374="","",IF('Importar Reservas'!N366="",0,'Importar Reservas'!N366))</f>
        <v/>
      </c>
      <c r="F374" s="78">
        <f>IF($A374="","",IFERROR(INDEX(Configurações!$C$5:$C$100,MATCH($C374,Configurações!$A$5:$A$100,0)),"Margem"))</f>
        <v/>
      </c>
      <c r="G374" s="78">
        <f>IF($A374="","",IFERROR(INDEX(Configurações!$B$5:$B$100,MATCH($C374,Configurações!$A$5:$A$100,0)),0))</f>
        <v/>
      </c>
      <c r="H374" s="78">
        <f>IF(OR($A374="",'Importar Reservas'!M366&lt;&gt;"Aprovado",$D374&lt;=0),"",MAX(0,IF($F374="Margem",$D374-$E374,$D374))*$G374)</f>
        <v/>
      </c>
    </row>
    <row r="375" ht="15" customHeight="1" s="79">
      <c r="A375" s="78">
        <f>IF('Importar Reservas'!A367="","",'Importar Reservas'!A367)</f>
        <v/>
      </c>
      <c r="B375" s="78">
        <f>IF($A375="","",'Importar Reservas'!B367)</f>
        <v/>
      </c>
      <c r="C375" s="78">
        <f>IF($A375="","",'Importar Reservas'!Z367)</f>
        <v/>
      </c>
      <c r="D375" s="78">
        <f>IF($A375="","",IF('Importar Reservas'!O367="",0,'Importar Reservas'!O367))</f>
        <v/>
      </c>
      <c r="E375" s="78">
        <f>IF($A375="","",IF('Importar Reservas'!N367="",0,'Importar Reservas'!N367))</f>
        <v/>
      </c>
      <c r="F375" s="78">
        <f>IF($A375="","",IFERROR(INDEX(Configurações!$C$5:$C$100,MATCH($C375,Configurações!$A$5:$A$100,0)),"Margem"))</f>
        <v/>
      </c>
      <c r="G375" s="78">
        <f>IF($A375="","",IFERROR(INDEX(Configurações!$B$5:$B$100,MATCH($C375,Configurações!$A$5:$A$100,0)),0))</f>
        <v/>
      </c>
      <c r="H375" s="78">
        <f>IF(OR($A375="",'Importar Reservas'!M367&lt;&gt;"Aprovado",$D375&lt;=0),"",MAX(0,IF($F375="Margem",$D375-$E375,$D375))*$G375)</f>
        <v/>
      </c>
    </row>
    <row r="376" ht="15" customHeight="1" s="79">
      <c r="A376" s="78">
        <f>IF('Importar Reservas'!A368="","",'Importar Reservas'!A368)</f>
        <v/>
      </c>
      <c r="B376" s="78">
        <f>IF($A376="","",'Importar Reservas'!B368)</f>
        <v/>
      </c>
      <c r="C376" s="78">
        <f>IF($A376="","",'Importar Reservas'!Z368)</f>
        <v/>
      </c>
      <c r="D376" s="78">
        <f>IF($A376="","",IF('Importar Reservas'!O368="",0,'Importar Reservas'!O368))</f>
        <v/>
      </c>
      <c r="E376" s="78">
        <f>IF($A376="","",IF('Importar Reservas'!N368="",0,'Importar Reservas'!N368))</f>
        <v/>
      </c>
      <c r="F376" s="78">
        <f>IF($A376="","",IFERROR(INDEX(Configurações!$C$5:$C$100,MATCH($C376,Configurações!$A$5:$A$100,0)),"Margem"))</f>
        <v/>
      </c>
      <c r="G376" s="78">
        <f>IF($A376="","",IFERROR(INDEX(Configurações!$B$5:$B$100,MATCH($C376,Configurações!$A$5:$A$100,0)),0))</f>
        <v/>
      </c>
      <c r="H376" s="78">
        <f>IF(OR($A376="",'Importar Reservas'!M368&lt;&gt;"Aprovado",$D376&lt;=0),"",MAX(0,IF($F376="Margem",$D376-$E376,$D376))*$G376)</f>
        <v/>
      </c>
    </row>
    <row r="377" ht="15" customHeight="1" s="79">
      <c r="A377" s="78">
        <f>IF('Importar Reservas'!A369="","",'Importar Reservas'!A369)</f>
        <v/>
      </c>
      <c r="B377" s="78">
        <f>IF($A377="","",'Importar Reservas'!B369)</f>
        <v/>
      </c>
      <c r="C377" s="78">
        <f>IF($A377="","",'Importar Reservas'!Z369)</f>
        <v/>
      </c>
      <c r="D377" s="78">
        <f>IF($A377="","",IF('Importar Reservas'!O369="",0,'Importar Reservas'!O369))</f>
        <v/>
      </c>
      <c r="E377" s="78">
        <f>IF($A377="","",IF('Importar Reservas'!N369="",0,'Importar Reservas'!N369))</f>
        <v/>
      </c>
      <c r="F377" s="78">
        <f>IF($A377="","",IFERROR(INDEX(Configurações!$C$5:$C$100,MATCH($C377,Configurações!$A$5:$A$100,0)),"Margem"))</f>
        <v/>
      </c>
      <c r="G377" s="78">
        <f>IF($A377="","",IFERROR(INDEX(Configurações!$B$5:$B$100,MATCH($C377,Configurações!$A$5:$A$100,0)),0))</f>
        <v/>
      </c>
      <c r="H377" s="78">
        <f>IF(OR($A377="",'Importar Reservas'!M369&lt;&gt;"Aprovado",$D377&lt;=0),"",MAX(0,IF($F377="Margem",$D377-$E377,$D377))*$G377)</f>
        <v/>
      </c>
    </row>
    <row r="378" ht="15" customHeight="1" s="79">
      <c r="A378" s="78">
        <f>IF('Importar Reservas'!A370="","",'Importar Reservas'!A370)</f>
        <v/>
      </c>
      <c r="B378" s="78">
        <f>IF($A378="","",'Importar Reservas'!B370)</f>
        <v/>
      </c>
      <c r="C378" s="78">
        <f>IF($A378="","",'Importar Reservas'!Z370)</f>
        <v/>
      </c>
      <c r="D378" s="78">
        <f>IF($A378="","",IF('Importar Reservas'!O370="",0,'Importar Reservas'!O370))</f>
        <v/>
      </c>
      <c r="E378" s="78">
        <f>IF($A378="","",IF('Importar Reservas'!N370="",0,'Importar Reservas'!N370))</f>
        <v/>
      </c>
      <c r="F378" s="78">
        <f>IF($A378="","",IFERROR(INDEX(Configurações!$C$5:$C$100,MATCH($C378,Configurações!$A$5:$A$100,0)),"Margem"))</f>
        <v/>
      </c>
      <c r="G378" s="78">
        <f>IF($A378="","",IFERROR(INDEX(Configurações!$B$5:$B$100,MATCH($C378,Configurações!$A$5:$A$100,0)),0))</f>
        <v/>
      </c>
      <c r="H378" s="78">
        <f>IF(OR($A378="",'Importar Reservas'!M370&lt;&gt;"Aprovado",$D378&lt;=0),"",MAX(0,IF($F378="Margem",$D378-$E378,$D378))*$G378)</f>
        <v/>
      </c>
    </row>
    <row r="379" ht="15" customHeight="1" s="79">
      <c r="A379" s="78">
        <f>IF('Importar Reservas'!A371="","",'Importar Reservas'!A371)</f>
        <v/>
      </c>
      <c r="B379" s="78">
        <f>IF($A379="","",'Importar Reservas'!B371)</f>
        <v/>
      </c>
      <c r="C379" s="78">
        <f>IF($A379="","",'Importar Reservas'!Z371)</f>
        <v/>
      </c>
      <c r="D379" s="78">
        <f>IF($A379="","",IF('Importar Reservas'!O371="",0,'Importar Reservas'!O371))</f>
        <v/>
      </c>
      <c r="E379" s="78">
        <f>IF($A379="","",IF('Importar Reservas'!N371="",0,'Importar Reservas'!N371))</f>
        <v/>
      </c>
      <c r="F379" s="78">
        <f>IF($A379="","",IFERROR(INDEX(Configurações!$C$5:$C$100,MATCH($C379,Configurações!$A$5:$A$100,0)),"Margem"))</f>
        <v/>
      </c>
      <c r="G379" s="78">
        <f>IF($A379="","",IFERROR(INDEX(Configurações!$B$5:$B$100,MATCH($C379,Configurações!$A$5:$A$100,0)),0))</f>
        <v/>
      </c>
      <c r="H379" s="78">
        <f>IF(OR($A379="",'Importar Reservas'!M371&lt;&gt;"Aprovado",$D379&lt;=0),"",MAX(0,IF($F379="Margem",$D379-$E379,$D379))*$G379)</f>
        <v/>
      </c>
    </row>
    <row r="380" ht="15" customHeight="1" s="79">
      <c r="A380" s="78">
        <f>IF('Importar Reservas'!A372="","",'Importar Reservas'!A372)</f>
        <v/>
      </c>
      <c r="B380" s="78">
        <f>IF($A380="","",'Importar Reservas'!B372)</f>
        <v/>
      </c>
      <c r="C380" s="78">
        <f>IF($A380="","",'Importar Reservas'!Z372)</f>
        <v/>
      </c>
      <c r="D380" s="78">
        <f>IF($A380="","",IF('Importar Reservas'!O372="",0,'Importar Reservas'!O372))</f>
        <v/>
      </c>
      <c r="E380" s="78">
        <f>IF($A380="","",IF('Importar Reservas'!N372="",0,'Importar Reservas'!N372))</f>
        <v/>
      </c>
      <c r="F380" s="78">
        <f>IF($A380="","",IFERROR(INDEX(Configurações!$C$5:$C$100,MATCH($C380,Configurações!$A$5:$A$100,0)),"Margem"))</f>
        <v/>
      </c>
      <c r="G380" s="78">
        <f>IF($A380="","",IFERROR(INDEX(Configurações!$B$5:$B$100,MATCH($C380,Configurações!$A$5:$A$100,0)),0))</f>
        <v/>
      </c>
      <c r="H380" s="78">
        <f>IF(OR($A380="",'Importar Reservas'!M372&lt;&gt;"Aprovado",$D380&lt;=0),"",MAX(0,IF($F380="Margem",$D380-$E380,$D380))*$G380)</f>
        <v/>
      </c>
    </row>
    <row r="381" ht="15" customHeight="1" s="79">
      <c r="A381" s="78">
        <f>IF('Importar Reservas'!A373="","",'Importar Reservas'!A373)</f>
        <v/>
      </c>
      <c r="B381" s="78">
        <f>IF($A381="","",'Importar Reservas'!B373)</f>
        <v/>
      </c>
      <c r="C381" s="78">
        <f>IF($A381="","",'Importar Reservas'!Z373)</f>
        <v/>
      </c>
      <c r="D381" s="78">
        <f>IF($A381="","",IF('Importar Reservas'!O373="",0,'Importar Reservas'!O373))</f>
        <v/>
      </c>
      <c r="E381" s="78">
        <f>IF($A381="","",IF('Importar Reservas'!N373="",0,'Importar Reservas'!N373))</f>
        <v/>
      </c>
      <c r="F381" s="78">
        <f>IF($A381="","",IFERROR(INDEX(Configurações!$C$5:$C$100,MATCH($C381,Configurações!$A$5:$A$100,0)),"Margem"))</f>
        <v/>
      </c>
      <c r="G381" s="78">
        <f>IF($A381="","",IFERROR(INDEX(Configurações!$B$5:$B$100,MATCH($C381,Configurações!$A$5:$A$100,0)),0))</f>
        <v/>
      </c>
      <c r="H381" s="78">
        <f>IF(OR($A381="",'Importar Reservas'!M373&lt;&gt;"Aprovado",$D381&lt;=0),"",MAX(0,IF($F381="Margem",$D381-$E381,$D381))*$G381)</f>
        <v/>
      </c>
    </row>
    <row r="382" ht="15" customHeight="1" s="79">
      <c r="A382" s="78">
        <f>IF('Importar Reservas'!A374="","",'Importar Reservas'!A374)</f>
        <v/>
      </c>
      <c r="B382" s="78">
        <f>IF($A382="","",'Importar Reservas'!B374)</f>
        <v/>
      </c>
      <c r="C382" s="78">
        <f>IF($A382="","",'Importar Reservas'!Z374)</f>
        <v/>
      </c>
      <c r="D382" s="78">
        <f>IF($A382="","",IF('Importar Reservas'!O374="",0,'Importar Reservas'!O374))</f>
        <v/>
      </c>
      <c r="E382" s="78">
        <f>IF($A382="","",IF('Importar Reservas'!N374="",0,'Importar Reservas'!N374))</f>
        <v/>
      </c>
      <c r="F382" s="78">
        <f>IF($A382="","",IFERROR(INDEX(Configurações!$C$5:$C$100,MATCH($C382,Configurações!$A$5:$A$100,0)),"Margem"))</f>
        <v/>
      </c>
      <c r="G382" s="78">
        <f>IF($A382="","",IFERROR(INDEX(Configurações!$B$5:$B$100,MATCH($C382,Configurações!$A$5:$A$100,0)),0))</f>
        <v/>
      </c>
      <c r="H382" s="78">
        <f>IF(OR($A382="",'Importar Reservas'!M374&lt;&gt;"Aprovado",$D382&lt;=0),"",MAX(0,IF($F382="Margem",$D382-$E382,$D382))*$G382)</f>
        <v/>
      </c>
    </row>
    <row r="383" ht="15" customHeight="1" s="79">
      <c r="A383" s="78">
        <f>IF('Importar Reservas'!A375="","",'Importar Reservas'!A375)</f>
        <v/>
      </c>
      <c r="B383" s="78">
        <f>IF($A383="","",'Importar Reservas'!B375)</f>
        <v/>
      </c>
      <c r="C383" s="78">
        <f>IF($A383="","",'Importar Reservas'!Z375)</f>
        <v/>
      </c>
      <c r="D383" s="78">
        <f>IF($A383="","",IF('Importar Reservas'!O375="",0,'Importar Reservas'!O375))</f>
        <v/>
      </c>
      <c r="E383" s="78">
        <f>IF($A383="","",IF('Importar Reservas'!N375="",0,'Importar Reservas'!N375))</f>
        <v/>
      </c>
      <c r="F383" s="78">
        <f>IF($A383="","",IFERROR(INDEX(Configurações!$C$5:$C$100,MATCH($C383,Configurações!$A$5:$A$100,0)),"Margem"))</f>
        <v/>
      </c>
      <c r="G383" s="78">
        <f>IF($A383="","",IFERROR(INDEX(Configurações!$B$5:$B$100,MATCH($C383,Configurações!$A$5:$A$100,0)),0))</f>
        <v/>
      </c>
      <c r="H383" s="78">
        <f>IF(OR($A383="",'Importar Reservas'!M375&lt;&gt;"Aprovado",$D383&lt;=0),"",MAX(0,IF($F383="Margem",$D383-$E383,$D383))*$G383)</f>
        <v/>
      </c>
    </row>
    <row r="384" ht="15" customHeight="1" s="79">
      <c r="A384" s="78">
        <f>IF('Importar Reservas'!A376="","",'Importar Reservas'!A376)</f>
        <v/>
      </c>
      <c r="B384" s="78">
        <f>IF($A384="","",'Importar Reservas'!B376)</f>
        <v/>
      </c>
      <c r="C384" s="78">
        <f>IF($A384="","",'Importar Reservas'!Z376)</f>
        <v/>
      </c>
      <c r="D384" s="78">
        <f>IF($A384="","",IF('Importar Reservas'!O376="",0,'Importar Reservas'!O376))</f>
        <v/>
      </c>
      <c r="E384" s="78">
        <f>IF($A384="","",IF('Importar Reservas'!N376="",0,'Importar Reservas'!N376))</f>
        <v/>
      </c>
      <c r="F384" s="78">
        <f>IF($A384="","",IFERROR(INDEX(Configurações!$C$5:$C$100,MATCH($C384,Configurações!$A$5:$A$100,0)),"Margem"))</f>
        <v/>
      </c>
      <c r="G384" s="78">
        <f>IF($A384="","",IFERROR(INDEX(Configurações!$B$5:$B$100,MATCH($C384,Configurações!$A$5:$A$100,0)),0))</f>
        <v/>
      </c>
      <c r="H384" s="78">
        <f>IF(OR($A384="",'Importar Reservas'!M376&lt;&gt;"Aprovado",$D384&lt;=0),"",MAX(0,IF($F384="Margem",$D384-$E384,$D384))*$G384)</f>
        <v/>
      </c>
    </row>
    <row r="385" ht="15" customHeight="1" s="79">
      <c r="A385" s="78">
        <f>IF('Importar Reservas'!A377="","",'Importar Reservas'!A377)</f>
        <v/>
      </c>
      <c r="B385" s="78">
        <f>IF($A385="","",'Importar Reservas'!B377)</f>
        <v/>
      </c>
      <c r="C385" s="78">
        <f>IF($A385="","",'Importar Reservas'!Z377)</f>
        <v/>
      </c>
      <c r="D385" s="78">
        <f>IF($A385="","",IF('Importar Reservas'!O377="",0,'Importar Reservas'!O377))</f>
        <v/>
      </c>
      <c r="E385" s="78">
        <f>IF($A385="","",IF('Importar Reservas'!N377="",0,'Importar Reservas'!N377))</f>
        <v/>
      </c>
      <c r="F385" s="78">
        <f>IF($A385="","",IFERROR(INDEX(Configurações!$C$5:$C$100,MATCH($C385,Configurações!$A$5:$A$100,0)),"Margem"))</f>
        <v/>
      </c>
      <c r="G385" s="78">
        <f>IF($A385="","",IFERROR(INDEX(Configurações!$B$5:$B$100,MATCH($C385,Configurações!$A$5:$A$100,0)),0))</f>
        <v/>
      </c>
      <c r="H385" s="78">
        <f>IF(OR($A385="",'Importar Reservas'!M377&lt;&gt;"Aprovado",$D385&lt;=0),"",MAX(0,IF($F385="Margem",$D385-$E385,$D385))*$G385)</f>
        <v/>
      </c>
    </row>
    <row r="386" ht="15" customHeight="1" s="79">
      <c r="A386" s="78">
        <f>IF('Importar Reservas'!A378="","",'Importar Reservas'!A378)</f>
        <v/>
      </c>
      <c r="B386" s="78">
        <f>IF($A386="","",'Importar Reservas'!B378)</f>
        <v/>
      </c>
      <c r="C386" s="78">
        <f>IF($A386="","",'Importar Reservas'!Z378)</f>
        <v/>
      </c>
      <c r="D386" s="78">
        <f>IF($A386="","",IF('Importar Reservas'!O378="",0,'Importar Reservas'!O378))</f>
        <v/>
      </c>
      <c r="E386" s="78">
        <f>IF($A386="","",IF('Importar Reservas'!N378="",0,'Importar Reservas'!N378))</f>
        <v/>
      </c>
      <c r="F386" s="78">
        <f>IF($A386="","",IFERROR(INDEX(Configurações!$C$5:$C$100,MATCH($C386,Configurações!$A$5:$A$100,0)),"Margem"))</f>
        <v/>
      </c>
      <c r="G386" s="78">
        <f>IF($A386="","",IFERROR(INDEX(Configurações!$B$5:$B$100,MATCH($C386,Configurações!$A$5:$A$100,0)),0))</f>
        <v/>
      </c>
      <c r="H386" s="78">
        <f>IF(OR($A386="",'Importar Reservas'!M378&lt;&gt;"Aprovado",$D386&lt;=0),"",MAX(0,IF($F386="Margem",$D386-$E386,$D386))*$G386)</f>
        <v/>
      </c>
    </row>
    <row r="387" ht="15" customHeight="1" s="79">
      <c r="A387" s="78">
        <f>IF('Importar Reservas'!A379="","",'Importar Reservas'!A379)</f>
        <v/>
      </c>
      <c r="B387" s="78">
        <f>IF($A387="","",'Importar Reservas'!B379)</f>
        <v/>
      </c>
      <c r="C387" s="78">
        <f>IF($A387="","",'Importar Reservas'!Z379)</f>
        <v/>
      </c>
      <c r="D387" s="78">
        <f>IF($A387="","",IF('Importar Reservas'!O379="",0,'Importar Reservas'!O379))</f>
        <v/>
      </c>
      <c r="E387" s="78">
        <f>IF($A387="","",IF('Importar Reservas'!N379="",0,'Importar Reservas'!N379))</f>
        <v/>
      </c>
      <c r="F387" s="78">
        <f>IF($A387="","",IFERROR(INDEX(Configurações!$C$5:$C$100,MATCH($C387,Configurações!$A$5:$A$100,0)),"Margem"))</f>
        <v/>
      </c>
      <c r="G387" s="78">
        <f>IF($A387="","",IFERROR(INDEX(Configurações!$B$5:$B$100,MATCH($C387,Configurações!$A$5:$A$100,0)),0))</f>
        <v/>
      </c>
      <c r="H387" s="78">
        <f>IF(OR($A387="",'Importar Reservas'!M379&lt;&gt;"Aprovado",$D387&lt;=0),"",MAX(0,IF($F387="Margem",$D387-$E387,$D387))*$G387)</f>
        <v/>
      </c>
    </row>
    <row r="388" ht="15" customHeight="1" s="79">
      <c r="A388" s="78">
        <f>IF('Importar Reservas'!A380="","",'Importar Reservas'!A380)</f>
        <v/>
      </c>
      <c r="B388" s="78">
        <f>IF($A388="","",'Importar Reservas'!B380)</f>
        <v/>
      </c>
      <c r="C388" s="78">
        <f>IF($A388="","",'Importar Reservas'!Z380)</f>
        <v/>
      </c>
      <c r="D388" s="78">
        <f>IF($A388="","",IF('Importar Reservas'!O380="",0,'Importar Reservas'!O380))</f>
        <v/>
      </c>
      <c r="E388" s="78">
        <f>IF($A388="","",IF('Importar Reservas'!N380="",0,'Importar Reservas'!N380))</f>
        <v/>
      </c>
      <c r="F388" s="78">
        <f>IF($A388="","",IFERROR(INDEX(Configurações!$C$5:$C$100,MATCH($C388,Configurações!$A$5:$A$100,0)),"Margem"))</f>
        <v/>
      </c>
      <c r="G388" s="78">
        <f>IF($A388="","",IFERROR(INDEX(Configurações!$B$5:$B$100,MATCH($C388,Configurações!$A$5:$A$100,0)),0))</f>
        <v/>
      </c>
      <c r="H388" s="78">
        <f>IF(OR($A388="",'Importar Reservas'!M380&lt;&gt;"Aprovado",$D388&lt;=0),"",MAX(0,IF($F388="Margem",$D388-$E388,$D388))*$G388)</f>
        <v/>
      </c>
    </row>
    <row r="389" ht="15" customHeight="1" s="79">
      <c r="A389" s="78">
        <f>IF('Importar Reservas'!A381="","",'Importar Reservas'!A381)</f>
        <v/>
      </c>
      <c r="B389" s="78">
        <f>IF($A389="","",'Importar Reservas'!B381)</f>
        <v/>
      </c>
      <c r="C389" s="78">
        <f>IF($A389="","",'Importar Reservas'!Z381)</f>
        <v/>
      </c>
      <c r="D389" s="78">
        <f>IF($A389="","",IF('Importar Reservas'!O381="",0,'Importar Reservas'!O381))</f>
        <v/>
      </c>
      <c r="E389" s="78">
        <f>IF($A389="","",IF('Importar Reservas'!N381="",0,'Importar Reservas'!N381))</f>
        <v/>
      </c>
      <c r="F389" s="78">
        <f>IF($A389="","",IFERROR(INDEX(Configurações!$C$5:$C$100,MATCH($C389,Configurações!$A$5:$A$100,0)),"Margem"))</f>
        <v/>
      </c>
      <c r="G389" s="78">
        <f>IF($A389="","",IFERROR(INDEX(Configurações!$B$5:$B$100,MATCH($C389,Configurações!$A$5:$A$100,0)),0))</f>
        <v/>
      </c>
      <c r="H389" s="78">
        <f>IF(OR($A389="",'Importar Reservas'!M381&lt;&gt;"Aprovado",$D389&lt;=0),"",MAX(0,IF($F389="Margem",$D389-$E389,$D389))*$G389)</f>
        <v/>
      </c>
    </row>
    <row r="390" ht="15" customHeight="1" s="79">
      <c r="A390" s="78">
        <f>IF('Importar Reservas'!A382="","",'Importar Reservas'!A382)</f>
        <v/>
      </c>
      <c r="B390" s="78">
        <f>IF($A390="","",'Importar Reservas'!B382)</f>
        <v/>
      </c>
      <c r="C390" s="78">
        <f>IF($A390="","",'Importar Reservas'!Z382)</f>
        <v/>
      </c>
      <c r="D390" s="78">
        <f>IF($A390="","",IF('Importar Reservas'!O382="",0,'Importar Reservas'!O382))</f>
        <v/>
      </c>
      <c r="E390" s="78">
        <f>IF($A390="","",IF('Importar Reservas'!N382="",0,'Importar Reservas'!N382))</f>
        <v/>
      </c>
      <c r="F390" s="78">
        <f>IF($A390="","",IFERROR(INDEX(Configurações!$C$5:$C$100,MATCH($C390,Configurações!$A$5:$A$100,0)),"Margem"))</f>
        <v/>
      </c>
      <c r="G390" s="78">
        <f>IF($A390="","",IFERROR(INDEX(Configurações!$B$5:$B$100,MATCH($C390,Configurações!$A$5:$A$100,0)),0))</f>
        <v/>
      </c>
      <c r="H390" s="78">
        <f>IF(OR($A390="",'Importar Reservas'!M382&lt;&gt;"Aprovado",$D390&lt;=0),"",MAX(0,IF($F390="Margem",$D390-$E390,$D390))*$G390)</f>
        <v/>
      </c>
    </row>
    <row r="391" ht="15" customHeight="1" s="79">
      <c r="A391" s="78">
        <f>IF('Importar Reservas'!A383="","",'Importar Reservas'!A383)</f>
        <v/>
      </c>
      <c r="B391" s="78">
        <f>IF($A391="","",'Importar Reservas'!B383)</f>
        <v/>
      </c>
      <c r="C391" s="78">
        <f>IF($A391="","",'Importar Reservas'!Z383)</f>
        <v/>
      </c>
      <c r="D391" s="78">
        <f>IF($A391="","",IF('Importar Reservas'!O383="",0,'Importar Reservas'!O383))</f>
        <v/>
      </c>
      <c r="E391" s="78">
        <f>IF($A391="","",IF('Importar Reservas'!N383="",0,'Importar Reservas'!N383))</f>
        <v/>
      </c>
      <c r="F391" s="78">
        <f>IF($A391="","",IFERROR(INDEX(Configurações!$C$5:$C$100,MATCH($C391,Configurações!$A$5:$A$100,0)),"Margem"))</f>
        <v/>
      </c>
      <c r="G391" s="78">
        <f>IF($A391="","",IFERROR(INDEX(Configurações!$B$5:$B$100,MATCH($C391,Configurações!$A$5:$A$100,0)),0))</f>
        <v/>
      </c>
      <c r="H391" s="78">
        <f>IF(OR($A391="",'Importar Reservas'!M383&lt;&gt;"Aprovado",$D391&lt;=0),"",MAX(0,IF($F391="Margem",$D391-$E391,$D391))*$G391)</f>
        <v/>
      </c>
    </row>
    <row r="392" ht="15" customHeight="1" s="79">
      <c r="A392" s="78">
        <f>IF('Importar Reservas'!A384="","",'Importar Reservas'!A384)</f>
        <v/>
      </c>
      <c r="B392" s="78">
        <f>IF($A392="","",'Importar Reservas'!B384)</f>
        <v/>
      </c>
      <c r="C392" s="78">
        <f>IF($A392="","",'Importar Reservas'!Z384)</f>
        <v/>
      </c>
      <c r="D392" s="78">
        <f>IF($A392="","",IF('Importar Reservas'!O384="",0,'Importar Reservas'!O384))</f>
        <v/>
      </c>
      <c r="E392" s="78">
        <f>IF($A392="","",IF('Importar Reservas'!N384="",0,'Importar Reservas'!N384))</f>
        <v/>
      </c>
      <c r="F392" s="78">
        <f>IF($A392="","",IFERROR(INDEX(Configurações!$C$5:$C$100,MATCH($C392,Configurações!$A$5:$A$100,0)),"Margem"))</f>
        <v/>
      </c>
      <c r="G392" s="78">
        <f>IF($A392="","",IFERROR(INDEX(Configurações!$B$5:$B$100,MATCH($C392,Configurações!$A$5:$A$100,0)),0))</f>
        <v/>
      </c>
      <c r="H392" s="78">
        <f>IF(OR($A392="",'Importar Reservas'!M384&lt;&gt;"Aprovado",$D392&lt;=0),"",MAX(0,IF($F392="Margem",$D392-$E392,$D392))*$G392)</f>
        <v/>
      </c>
    </row>
    <row r="393" ht="15" customHeight="1" s="79">
      <c r="A393" s="78">
        <f>IF('Importar Reservas'!A385="","",'Importar Reservas'!A385)</f>
        <v/>
      </c>
      <c r="B393" s="78">
        <f>IF($A393="","",'Importar Reservas'!B385)</f>
        <v/>
      </c>
      <c r="C393" s="78">
        <f>IF($A393="","",'Importar Reservas'!Z385)</f>
        <v/>
      </c>
      <c r="D393" s="78">
        <f>IF($A393="","",IF('Importar Reservas'!O385="",0,'Importar Reservas'!O385))</f>
        <v/>
      </c>
      <c r="E393" s="78">
        <f>IF($A393="","",IF('Importar Reservas'!N385="",0,'Importar Reservas'!N385))</f>
        <v/>
      </c>
      <c r="F393" s="78">
        <f>IF($A393="","",IFERROR(INDEX(Configurações!$C$5:$C$100,MATCH($C393,Configurações!$A$5:$A$100,0)),"Margem"))</f>
        <v/>
      </c>
      <c r="G393" s="78">
        <f>IF($A393="","",IFERROR(INDEX(Configurações!$B$5:$B$100,MATCH($C393,Configurações!$A$5:$A$100,0)),0))</f>
        <v/>
      </c>
      <c r="H393" s="78">
        <f>IF(OR($A393="",'Importar Reservas'!M385&lt;&gt;"Aprovado",$D393&lt;=0),"",MAX(0,IF($F393="Margem",$D393-$E393,$D393))*$G393)</f>
        <v/>
      </c>
    </row>
    <row r="394" ht="15" customHeight="1" s="79">
      <c r="A394" s="78">
        <f>IF('Importar Reservas'!A386="","",'Importar Reservas'!A386)</f>
        <v/>
      </c>
      <c r="B394" s="78">
        <f>IF($A394="","",'Importar Reservas'!B386)</f>
        <v/>
      </c>
      <c r="C394" s="78">
        <f>IF($A394="","",'Importar Reservas'!Z386)</f>
        <v/>
      </c>
      <c r="D394" s="78">
        <f>IF($A394="","",IF('Importar Reservas'!O386="",0,'Importar Reservas'!O386))</f>
        <v/>
      </c>
      <c r="E394" s="78">
        <f>IF($A394="","",IF('Importar Reservas'!N386="",0,'Importar Reservas'!N386))</f>
        <v/>
      </c>
      <c r="F394" s="78">
        <f>IF($A394="","",IFERROR(INDEX(Configurações!$C$5:$C$100,MATCH($C394,Configurações!$A$5:$A$100,0)),"Margem"))</f>
        <v/>
      </c>
      <c r="G394" s="78">
        <f>IF($A394="","",IFERROR(INDEX(Configurações!$B$5:$B$100,MATCH($C394,Configurações!$A$5:$A$100,0)),0))</f>
        <v/>
      </c>
      <c r="H394" s="78">
        <f>IF(OR($A394="",'Importar Reservas'!M386&lt;&gt;"Aprovado",$D394&lt;=0),"",MAX(0,IF($F394="Margem",$D394-$E394,$D394))*$G394)</f>
        <v/>
      </c>
    </row>
    <row r="395" ht="15" customHeight="1" s="79">
      <c r="A395" s="78">
        <f>IF('Importar Reservas'!A387="","",'Importar Reservas'!A387)</f>
        <v/>
      </c>
      <c r="B395" s="78">
        <f>IF($A395="","",'Importar Reservas'!B387)</f>
        <v/>
      </c>
      <c r="C395" s="78">
        <f>IF($A395="","",'Importar Reservas'!Z387)</f>
        <v/>
      </c>
      <c r="D395" s="78">
        <f>IF($A395="","",IF('Importar Reservas'!O387="",0,'Importar Reservas'!O387))</f>
        <v/>
      </c>
      <c r="E395" s="78">
        <f>IF($A395="","",IF('Importar Reservas'!N387="",0,'Importar Reservas'!N387))</f>
        <v/>
      </c>
      <c r="F395" s="78">
        <f>IF($A395="","",IFERROR(INDEX(Configurações!$C$5:$C$100,MATCH($C395,Configurações!$A$5:$A$100,0)),"Margem"))</f>
        <v/>
      </c>
      <c r="G395" s="78">
        <f>IF($A395="","",IFERROR(INDEX(Configurações!$B$5:$B$100,MATCH($C395,Configurações!$A$5:$A$100,0)),0))</f>
        <v/>
      </c>
      <c r="H395" s="78">
        <f>IF(OR($A395="",'Importar Reservas'!M387&lt;&gt;"Aprovado",$D395&lt;=0),"",MAX(0,IF($F395="Margem",$D395-$E395,$D395))*$G395)</f>
        <v/>
      </c>
    </row>
    <row r="396" ht="15" customHeight="1" s="79">
      <c r="A396" s="78">
        <f>IF('Importar Reservas'!A388="","",'Importar Reservas'!A388)</f>
        <v/>
      </c>
      <c r="B396" s="78">
        <f>IF($A396="","",'Importar Reservas'!B388)</f>
        <v/>
      </c>
      <c r="C396" s="78">
        <f>IF($A396="","",'Importar Reservas'!Z388)</f>
        <v/>
      </c>
      <c r="D396" s="78">
        <f>IF($A396="","",IF('Importar Reservas'!O388="",0,'Importar Reservas'!O388))</f>
        <v/>
      </c>
      <c r="E396" s="78">
        <f>IF($A396="","",IF('Importar Reservas'!N388="",0,'Importar Reservas'!N388))</f>
        <v/>
      </c>
      <c r="F396" s="78">
        <f>IF($A396="","",IFERROR(INDEX(Configurações!$C$5:$C$100,MATCH($C396,Configurações!$A$5:$A$100,0)),"Margem"))</f>
        <v/>
      </c>
      <c r="G396" s="78">
        <f>IF($A396="","",IFERROR(INDEX(Configurações!$B$5:$B$100,MATCH($C396,Configurações!$A$5:$A$100,0)),0))</f>
        <v/>
      </c>
      <c r="H396" s="78">
        <f>IF(OR($A396="",'Importar Reservas'!M388&lt;&gt;"Aprovado",$D396&lt;=0),"",MAX(0,IF($F396="Margem",$D396-$E396,$D396))*$G396)</f>
        <v/>
      </c>
    </row>
    <row r="397" ht="15" customHeight="1" s="79">
      <c r="A397" s="78">
        <f>IF('Importar Reservas'!A389="","",'Importar Reservas'!A389)</f>
        <v/>
      </c>
      <c r="B397" s="78">
        <f>IF($A397="","",'Importar Reservas'!B389)</f>
        <v/>
      </c>
      <c r="C397" s="78">
        <f>IF($A397="","",'Importar Reservas'!Z389)</f>
        <v/>
      </c>
      <c r="D397" s="78">
        <f>IF($A397="","",IF('Importar Reservas'!O389="",0,'Importar Reservas'!O389))</f>
        <v/>
      </c>
      <c r="E397" s="78">
        <f>IF($A397="","",IF('Importar Reservas'!N389="",0,'Importar Reservas'!N389))</f>
        <v/>
      </c>
      <c r="F397" s="78">
        <f>IF($A397="","",IFERROR(INDEX(Configurações!$C$5:$C$100,MATCH($C397,Configurações!$A$5:$A$100,0)),"Margem"))</f>
        <v/>
      </c>
      <c r="G397" s="78">
        <f>IF($A397="","",IFERROR(INDEX(Configurações!$B$5:$B$100,MATCH($C397,Configurações!$A$5:$A$100,0)),0))</f>
        <v/>
      </c>
      <c r="H397" s="78">
        <f>IF(OR($A397="",'Importar Reservas'!M389&lt;&gt;"Aprovado",$D397&lt;=0),"",MAX(0,IF($F397="Margem",$D397-$E397,$D397))*$G397)</f>
        <v/>
      </c>
    </row>
    <row r="398" ht="15" customHeight="1" s="79">
      <c r="A398" s="78">
        <f>IF('Importar Reservas'!A390="","",'Importar Reservas'!A390)</f>
        <v/>
      </c>
      <c r="B398" s="78">
        <f>IF($A398="","",'Importar Reservas'!B390)</f>
        <v/>
      </c>
      <c r="C398" s="78">
        <f>IF($A398="","",'Importar Reservas'!Z390)</f>
        <v/>
      </c>
      <c r="D398" s="78">
        <f>IF($A398="","",IF('Importar Reservas'!O390="",0,'Importar Reservas'!O390))</f>
        <v/>
      </c>
      <c r="E398" s="78">
        <f>IF($A398="","",IF('Importar Reservas'!N390="",0,'Importar Reservas'!N390))</f>
        <v/>
      </c>
      <c r="F398" s="78">
        <f>IF($A398="","",IFERROR(INDEX(Configurações!$C$5:$C$100,MATCH($C398,Configurações!$A$5:$A$100,0)),"Margem"))</f>
        <v/>
      </c>
      <c r="G398" s="78">
        <f>IF($A398="","",IFERROR(INDEX(Configurações!$B$5:$B$100,MATCH($C398,Configurações!$A$5:$A$100,0)),0))</f>
        <v/>
      </c>
      <c r="H398" s="78">
        <f>IF(OR($A398="",'Importar Reservas'!M390&lt;&gt;"Aprovado",$D398&lt;=0),"",MAX(0,IF($F398="Margem",$D398-$E398,$D398))*$G398)</f>
        <v/>
      </c>
    </row>
    <row r="399" ht="15" customHeight="1" s="79">
      <c r="A399" s="78">
        <f>IF('Importar Reservas'!A391="","",'Importar Reservas'!A391)</f>
        <v/>
      </c>
      <c r="B399" s="78">
        <f>IF($A399="","",'Importar Reservas'!B391)</f>
        <v/>
      </c>
      <c r="C399" s="78">
        <f>IF($A399="","",'Importar Reservas'!Z391)</f>
        <v/>
      </c>
      <c r="D399" s="78">
        <f>IF($A399="","",IF('Importar Reservas'!O391="",0,'Importar Reservas'!O391))</f>
        <v/>
      </c>
      <c r="E399" s="78">
        <f>IF($A399="","",IF('Importar Reservas'!N391="",0,'Importar Reservas'!N391))</f>
        <v/>
      </c>
      <c r="F399" s="78">
        <f>IF($A399="","",IFERROR(INDEX(Configurações!$C$5:$C$100,MATCH($C399,Configurações!$A$5:$A$100,0)),"Margem"))</f>
        <v/>
      </c>
      <c r="G399" s="78">
        <f>IF($A399="","",IFERROR(INDEX(Configurações!$B$5:$B$100,MATCH($C399,Configurações!$A$5:$A$100,0)),0))</f>
        <v/>
      </c>
      <c r="H399" s="78">
        <f>IF(OR($A399="",'Importar Reservas'!M391&lt;&gt;"Aprovado",$D399&lt;=0),"",MAX(0,IF($F399="Margem",$D399-$E399,$D399))*$G399)</f>
        <v/>
      </c>
    </row>
    <row r="400" ht="15" customHeight="1" s="79">
      <c r="A400" s="78">
        <f>IF('Importar Reservas'!A392="","",'Importar Reservas'!A392)</f>
        <v/>
      </c>
      <c r="B400" s="78">
        <f>IF($A400="","",'Importar Reservas'!B392)</f>
        <v/>
      </c>
      <c r="C400" s="78">
        <f>IF($A400="","",'Importar Reservas'!Z392)</f>
        <v/>
      </c>
      <c r="D400" s="78">
        <f>IF($A400="","",IF('Importar Reservas'!O392="",0,'Importar Reservas'!O392))</f>
        <v/>
      </c>
      <c r="E400" s="78">
        <f>IF($A400="","",IF('Importar Reservas'!N392="",0,'Importar Reservas'!N392))</f>
        <v/>
      </c>
      <c r="F400" s="78">
        <f>IF($A400="","",IFERROR(INDEX(Configurações!$C$5:$C$100,MATCH($C400,Configurações!$A$5:$A$100,0)),"Margem"))</f>
        <v/>
      </c>
      <c r="G400" s="78">
        <f>IF($A400="","",IFERROR(INDEX(Configurações!$B$5:$B$100,MATCH($C400,Configurações!$A$5:$A$100,0)),0))</f>
        <v/>
      </c>
      <c r="H400" s="78">
        <f>IF(OR($A400="",'Importar Reservas'!M392&lt;&gt;"Aprovado",$D400&lt;=0),"",MAX(0,IF($F400="Margem",$D400-$E400,$D400))*$G400)</f>
        <v/>
      </c>
    </row>
    <row r="401" ht="15" customHeight="1" s="79">
      <c r="A401" s="78">
        <f>IF('Importar Reservas'!A393="","",'Importar Reservas'!A393)</f>
        <v/>
      </c>
      <c r="B401" s="78">
        <f>IF($A401="","",'Importar Reservas'!B393)</f>
        <v/>
      </c>
      <c r="C401" s="78">
        <f>IF($A401="","",'Importar Reservas'!Z393)</f>
        <v/>
      </c>
      <c r="D401" s="78">
        <f>IF($A401="","",IF('Importar Reservas'!O393="",0,'Importar Reservas'!O393))</f>
        <v/>
      </c>
      <c r="E401" s="78">
        <f>IF($A401="","",IF('Importar Reservas'!N393="",0,'Importar Reservas'!N393))</f>
        <v/>
      </c>
      <c r="F401" s="78">
        <f>IF($A401="","",IFERROR(INDEX(Configurações!$C$5:$C$100,MATCH($C401,Configurações!$A$5:$A$100,0)),"Margem"))</f>
        <v/>
      </c>
      <c r="G401" s="78">
        <f>IF($A401="","",IFERROR(INDEX(Configurações!$B$5:$B$100,MATCH($C401,Configurações!$A$5:$A$100,0)),0))</f>
        <v/>
      </c>
      <c r="H401" s="78">
        <f>IF(OR($A401="",'Importar Reservas'!M393&lt;&gt;"Aprovado",$D401&lt;=0),"",MAX(0,IF($F401="Margem",$D401-$E401,$D401))*$G401)</f>
        <v/>
      </c>
    </row>
    <row r="402" ht="15" customHeight="1" s="79">
      <c r="A402" s="78">
        <f>IF('Importar Reservas'!A394="","",'Importar Reservas'!A394)</f>
        <v/>
      </c>
      <c r="B402" s="78">
        <f>IF($A402="","",'Importar Reservas'!B394)</f>
        <v/>
      </c>
      <c r="C402" s="78">
        <f>IF($A402="","",'Importar Reservas'!Z394)</f>
        <v/>
      </c>
      <c r="D402" s="78">
        <f>IF($A402="","",IF('Importar Reservas'!O394="",0,'Importar Reservas'!O394))</f>
        <v/>
      </c>
      <c r="E402" s="78">
        <f>IF($A402="","",IF('Importar Reservas'!N394="",0,'Importar Reservas'!N394))</f>
        <v/>
      </c>
      <c r="F402" s="78">
        <f>IF($A402="","",IFERROR(INDEX(Configurações!$C$5:$C$100,MATCH($C402,Configurações!$A$5:$A$100,0)),"Margem"))</f>
        <v/>
      </c>
      <c r="G402" s="78">
        <f>IF($A402="","",IFERROR(INDEX(Configurações!$B$5:$B$100,MATCH($C402,Configurações!$A$5:$A$100,0)),0))</f>
        <v/>
      </c>
      <c r="H402" s="78">
        <f>IF(OR($A402="",'Importar Reservas'!M394&lt;&gt;"Aprovado",$D402&lt;=0),"",MAX(0,IF($F402="Margem",$D402-$E402,$D402))*$G402)</f>
        <v/>
      </c>
    </row>
    <row r="403" ht="15" customHeight="1" s="79">
      <c r="A403" s="78">
        <f>IF('Importar Reservas'!A395="","",'Importar Reservas'!A395)</f>
        <v/>
      </c>
      <c r="B403" s="78">
        <f>IF($A403="","",'Importar Reservas'!B395)</f>
        <v/>
      </c>
      <c r="C403" s="78">
        <f>IF($A403="","",'Importar Reservas'!Z395)</f>
        <v/>
      </c>
      <c r="D403" s="78">
        <f>IF($A403="","",IF('Importar Reservas'!O395="",0,'Importar Reservas'!O395))</f>
        <v/>
      </c>
      <c r="E403" s="78">
        <f>IF($A403="","",IF('Importar Reservas'!N395="",0,'Importar Reservas'!N395))</f>
        <v/>
      </c>
      <c r="F403" s="78">
        <f>IF($A403="","",IFERROR(INDEX(Configurações!$C$5:$C$100,MATCH($C403,Configurações!$A$5:$A$100,0)),"Margem"))</f>
        <v/>
      </c>
      <c r="G403" s="78">
        <f>IF($A403="","",IFERROR(INDEX(Configurações!$B$5:$B$100,MATCH($C403,Configurações!$A$5:$A$100,0)),0))</f>
        <v/>
      </c>
      <c r="H403" s="78">
        <f>IF(OR($A403="",'Importar Reservas'!M395&lt;&gt;"Aprovado",$D403&lt;=0),"",MAX(0,IF($F403="Margem",$D403-$E403,$D403))*$G403)</f>
        <v/>
      </c>
    </row>
    <row r="404" ht="15" customHeight="1" s="79">
      <c r="A404" s="78">
        <f>IF('Importar Reservas'!A396="","",'Importar Reservas'!A396)</f>
        <v/>
      </c>
      <c r="B404" s="78">
        <f>IF($A404="","",'Importar Reservas'!B396)</f>
        <v/>
      </c>
      <c r="C404" s="78">
        <f>IF($A404="","",'Importar Reservas'!Z396)</f>
        <v/>
      </c>
      <c r="D404" s="78">
        <f>IF($A404="","",IF('Importar Reservas'!O396="",0,'Importar Reservas'!O396))</f>
        <v/>
      </c>
      <c r="E404" s="78">
        <f>IF($A404="","",IF('Importar Reservas'!N396="",0,'Importar Reservas'!N396))</f>
        <v/>
      </c>
      <c r="F404" s="78">
        <f>IF($A404="","",IFERROR(INDEX(Configurações!$C$5:$C$100,MATCH($C404,Configurações!$A$5:$A$100,0)),"Margem"))</f>
        <v/>
      </c>
      <c r="G404" s="78">
        <f>IF($A404="","",IFERROR(INDEX(Configurações!$B$5:$B$100,MATCH($C404,Configurações!$A$5:$A$100,0)),0))</f>
        <v/>
      </c>
      <c r="H404" s="78">
        <f>IF(OR($A404="",'Importar Reservas'!M396&lt;&gt;"Aprovado",$D404&lt;=0),"",MAX(0,IF($F404="Margem",$D404-$E404,$D404))*$G404)</f>
        <v/>
      </c>
    </row>
    <row r="405" ht="15" customHeight="1" s="79">
      <c r="A405" s="78">
        <f>IF('Importar Reservas'!A397="","",'Importar Reservas'!A397)</f>
        <v/>
      </c>
      <c r="B405" s="78">
        <f>IF($A405="","",'Importar Reservas'!B397)</f>
        <v/>
      </c>
      <c r="C405" s="78">
        <f>IF($A405="","",'Importar Reservas'!Z397)</f>
        <v/>
      </c>
      <c r="D405" s="78">
        <f>IF($A405="","",IF('Importar Reservas'!O397="",0,'Importar Reservas'!O397))</f>
        <v/>
      </c>
      <c r="E405" s="78">
        <f>IF($A405="","",IF('Importar Reservas'!N397="",0,'Importar Reservas'!N397))</f>
        <v/>
      </c>
      <c r="F405" s="78">
        <f>IF($A405="","",IFERROR(INDEX(Configurações!$C$5:$C$100,MATCH($C405,Configurações!$A$5:$A$100,0)),"Margem"))</f>
        <v/>
      </c>
      <c r="G405" s="78">
        <f>IF($A405="","",IFERROR(INDEX(Configurações!$B$5:$B$100,MATCH($C405,Configurações!$A$5:$A$100,0)),0))</f>
        <v/>
      </c>
      <c r="H405" s="78">
        <f>IF(OR($A405="",'Importar Reservas'!M397&lt;&gt;"Aprovado",$D405&lt;=0),"",MAX(0,IF($F405="Margem",$D405-$E405,$D405))*$G405)</f>
        <v/>
      </c>
    </row>
    <row r="406" ht="15" customHeight="1" s="79">
      <c r="A406" s="78">
        <f>IF('Importar Reservas'!A398="","",'Importar Reservas'!A398)</f>
        <v/>
      </c>
      <c r="B406" s="78">
        <f>IF($A406="","",'Importar Reservas'!B398)</f>
        <v/>
      </c>
      <c r="C406" s="78">
        <f>IF($A406="","",'Importar Reservas'!Z398)</f>
        <v/>
      </c>
      <c r="D406" s="78">
        <f>IF($A406="","",IF('Importar Reservas'!O398="",0,'Importar Reservas'!O398))</f>
        <v/>
      </c>
      <c r="E406" s="78">
        <f>IF($A406="","",IF('Importar Reservas'!N398="",0,'Importar Reservas'!N398))</f>
        <v/>
      </c>
      <c r="F406" s="78">
        <f>IF($A406="","",IFERROR(INDEX(Configurações!$C$5:$C$100,MATCH($C406,Configurações!$A$5:$A$100,0)),"Margem"))</f>
        <v/>
      </c>
      <c r="G406" s="78">
        <f>IF($A406="","",IFERROR(INDEX(Configurações!$B$5:$B$100,MATCH($C406,Configurações!$A$5:$A$100,0)),0))</f>
        <v/>
      </c>
      <c r="H406" s="78">
        <f>IF(OR($A406="",'Importar Reservas'!M398&lt;&gt;"Aprovado",$D406&lt;=0),"",MAX(0,IF($F406="Margem",$D406-$E406,$D406))*$G406)</f>
        <v/>
      </c>
    </row>
    <row r="407" ht="15" customHeight="1" s="79">
      <c r="A407" s="78">
        <f>IF('Importar Reservas'!A399="","",'Importar Reservas'!A399)</f>
        <v/>
      </c>
      <c r="B407" s="78">
        <f>IF($A407="","",'Importar Reservas'!B399)</f>
        <v/>
      </c>
      <c r="C407" s="78">
        <f>IF($A407="","",'Importar Reservas'!Z399)</f>
        <v/>
      </c>
      <c r="D407" s="78">
        <f>IF($A407="","",IF('Importar Reservas'!O399="",0,'Importar Reservas'!O399))</f>
        <v/>
      </c>
      <c r="E407" s="78">
        <f>IF($A407="","",IF('Importar Reservas'!N399="",0,'Importar Reservas'!N399))</f>
        <v/>
      </c>
      <c r="F407" s="78">
        <f>IF($A407="","",IFERROR(INDEX(Configurações!$C$5:$C$100,MATCH($C407,Configurações!$A$5:$A$100,0)),"Margem"))</f>
        <v/>
      </c>
      <c r="G407" s="78">
        <f>IF($A407="","",IFERROR(INDEX(Configurações!$B$5:$B$100,MATCH($C407,Configurações!$A$5:$A$100,0)),0))</f>
        <v/>
      </c>
      <c r="H407" s="78">
        <f>IF(OR($A407="",'Importar Reservas'!M399&lt;&gt;"Aprovado",$D407&lt;=0),"",MAX(0,IF($F407="Margem",$D407-$E407,$D407))*$G407)</f>
        <v/>
      </c>
    </row>
    <row r="408" ht="15" customHeight="1" s="79">
      <c r="A408" s="78">
        <f>IF('Importar Reservas'!A400="","",'Importar Reservas'!A400)</f>
        <v/>
      </c>
      <c r="B408" s="78">
        <f>IF($A408="","",'Importar Reservas'!B400)</f>
        <v/>
      </c>
      <c r="C408" s="78">
        <f>IF($A408="","",'Importar Reservas'!Z400)</f>
        <v/>
      </c>
      <c r="D408" s="78">
        <f>IF($A408="","",IF('Importar Reservas'!O400="",0,'Importar Reservas'!O400))</f>
        <v/>
      </c>
      <c r="E408" s="78">
        <f>IF($A408="","",IF('Importar Reservas'!N400="",0,'Importar Reservas'!N400))</f>
        <v/>
      </c>
      <c r="F408" s="78">
        <f>IF($A408="","",IFERROR(INDEX(Configurações!$C$5:$C$100,MATCH($C408,Configurações!$A$5:$A$100,0)),"Margem"))</f>
        <v/>
      </c>
      <c r="G408" s="78">
        <f>IF($A408="","",IFERROR(INDEX(Configurações!$B$5:$B$100,MATCH($C408,Configurações!$A$5:$A$100,0)),0))</f>
        <v/>
      </c>
      <c r="H408" s="78">
        <f>IF(OR($A408="",'Importar Reservas'!M400&lt;&gt;"Aprovado",$D408&lt;=0),"",MAX(0,IF($F408="Margem",$D408-$E408,$D408))*$G408)</f>
        <v/>
      </c>
    </row>
    <row r="409" ht="15" customHeight="1" s="79">
      <c r="A409" s="78">
        <f>IF('Importar Reservas'!A401="","",'Importar Reservas'!A401)</f>
        <v/>
      </c>
      <c r="B409" s="78">
        <f>IF($A409="","",'Importar Reservas'!B401)</f>
        <v/>
      </c>
      <c r="C409" s="78">
        <f>IF($A409="","",'Importar Reservas'!Z401)</f>
        <v/>
      </c>
      <c r="D409" s="78">
        <f>IF($A409="","",IF('Importar Reservas'!O401="",0,'Importar Reservas'!O401))</f>
        <v/>
      </c>
      <c r="E409" s="78">
        <f>IF($A409="","",IF('Importar Reservas'!N401="",0,'Importar Reservas'!N401))</f>
        <v/>
      </c>
      <c r="F409" s="78">
        <f>IF($A409="","",IFERROR(INDEX(Configurações!$C$5:$C$100,MATCH($C409,Configurações!$A$5:$A$100,0)),"Margem"))</f>
        <v/>
      </c>
      <c r="G409" s="78">
        <f>IF($A409="","",IFERROR(INDEX(Configurações!$B$5:$B$100,MATCH($C409,Configurações!$A$5:$A$100,0)),0))</f>
        <v/>
      </c>
      <c r="H409" s="78">
        <f>IF(OR($A409="",'Importar Reservas'!M401&lt;&gt;"Aprovado",$D409&lt;=0),"",MAX(0,IF($F409="Margem",$D409-$E409,$D409))*$G409)</f>
        <v/>
      </c>
    </row>
    <row r="410" ht="15" customHeight="1" s="79">
      <c r="A410" s="78">
        <f>IF('Importar Reservas'!A402="","",'Importar Reservas'!A402)</f>
        <v/>
      </c>
      <c r="B410" s="78">
        <f>IF($A410="","",'Importar Reservas'!B402)</f>
        <v/>
      </c>
      <c r="C410" s="78">
        <f>IF($A410="","",'Importar Reservas'!Z402)</f>
        <v/>
      </c>
      <c r="D410" s="78">
        <f>IF($A410="","",IF('Importar Reservas'!O402="",0,'Importar Reservas'!O402))</f>
        <v/>
      </c>
      <c r="E410" s="78">
        <f>IF($A410="","",IF('Importar Reservas'!N402="",0,'Importar Reservas'!N402))</f>
        <v/>
      </c>
      <c r="F410" s="78">
        <f>IF($A410="","",IFERROR(INDEX(Configurações!$C$5:$C$100,MATCH($C410,Configurações!$A$5:$A$100,0)),"Margem"))</f>
        <v/>
      </c>
      <c r="G410" s="78">
        <f>IF($A410="","",IFERROR(INDEX(Configurações!$B$5:$B$100,MATCH($C410,Configurações!$A$5:$A$100,0)),0))</f>
        <v/>
      </c>
      <c r="H410" s="78">
        <f>IF(OR($A410="",'Importar Reservas'!M402&lt;&gt;"Aprovado",$D410&lt;=0),"",MAX(0,IF($F410="Margem",$D410-$E410,$D410))*$G410)</f>
        <v/>
      </c>
    </row>
    <row r="411" ht="15" customHeight="1" s="79">
      <c r="A411" s="78">
        <f>IF('Importar Reservas'!A403="","",'Importar Reservas'!A403)</f>
        <v/>
      </c>
      <c r="B411" s="78">
        <f>IF($A411="","",'Importar Reservas'!B403)</f>
        <v/>
      </c>
      <c r="C411" s="78">
        <f>IF($A411="","",'Importar Reservas'!Z403)</f>
        <v/>
      </c>
      <c r="D411" s="78">
        <f>IF($A411="","",IF('Importar Reservas'!O403="",0,'Importar Reservas'!O403))</f>
        <v/>
      </c>
      <c r="E411" s="78">
        <f>IF($A411="","",IF('Importar Reservas'!N403="",0,'Importar Reservas'!N403))</f>
        <v/>
      </c>
      <c r="F411" s="78">
        <f>IF($A411="","",IFERROR(INDEX(Configurações!$C$5:$C$100,MATCH($C411,Configurações!$A$5:$A$100,0)),"Margem"))</f>
        <v/>
      </c>
      <c r="G411" s="78">
        <f>IF($A411="","",IFERROR(INDEX(Configurações!$B$5:$B$100,MATCH($C411,Configurações!$A$5:$A$100,0)),0))</f>
        <v/>
      </c>
      <c r="H411" s="78">
        <f>IF(OR($A411="",'Importar Reservas'!M403&lt;&gt;"Aprovado",$D411&lt;=0),"",MAX(0,IF($F411="Margem",$D411-$E411,$D411))*$G411)</f>
        <v/>
      </c>
    </row>
    <row r="412" ht="15" customHeight="1" s="79">
      <c r="A412" s="78">
        <f>IF('Importar Reservas'!A404="","",'Importar Reservas'!A404)</f>
        <v/>
      </c>
      <c r="B412" s="78">
        <f>IF($A412="","",'Importar Reservas'!B404)</f>
        <v/>
      </c>
      <c r="C412" s="78">
        <f>IF($A412="","",'Importar Reservas'!Z404)</f>
        <v/>
      </c>
      <c r="D412" s="78">
        <f>IF($A412="","",IF('Importar Reservas'!O404="",0,'Importar Reservas'!O404))</f>
        <v/>
      </c>
      <c r="E412" s="78">
        <f>IF($A412="","",IF('Importar Reservas'!N404="",0,'Importar Reservas'!N404))</f>
        <v/>
      </c>
      <c r="F412" s="78">
        <f>IF($A412="","",IFERROR(INDEX(Configurações!$C$5:$C$100,MATCH($C412,Configurações!$A$5:$A$100,0)),"Margem"))</f>
        <v/>
      </c>
      <c r="G412" s="78">
        <f>IF($A412="","",IFERROR(INDEX(Configurações!$B$5:$B$100,MATCH($C412,Configurações!$A$5:$A$100,0)),0))</f>
        <v/>
      </c>
      <c r="H412" s="78">
        <f>IF(OR($A412="",'Importar Reservas'!M404&lt;&gt;"Aprovado",$D412&lt;=0),"",MAX(0,IF($F412="Margem",$D412-$E412,$D412))*$G412)</f>
        <v/>
      </c>
    </row>
    <row r="413" ht="15" customHeight="1" s="79">
      <c r="A413" s="78">
        <f>IF('Importar Reservas'!A405="","",'Importar Reservas'!A405)</f>
        <v/>
      </c>
      <c r="B413" s="78">
        <f>IF($A413="","",'Importar Reservas'!B405)</f>
        <v/>
      </c>
      <c r="C413" s="78">
        <f>IF($A413="","",'Importar Reservas'!Z405)</f>
        <v/>
      </c>
      <c r="D413" s="78">
        <f>IF($A413="","",IF('Importar Reservas'!O405="",0,'Importar Reservas'!O405))</f>
        <v/>
      </c>
      <c r="E413" s="78">
        <f>IF($A413="","",IF('Importar Reservas'!N405="",0,'Importar Reservas'!N405))</f>
        <v/>
      </c>
      <c r="F413" s="78">
        <f>IF($A413="","",IFERROR(INDEX(Configurações!$C$5:$C$100,MATCH($C413,Configurações!$A$5:$A$100,0)),"Margem"))</f>
        <v/>
      </c>
      <c r="G413" s="78">
        <f>IF($A413="","",IFERROR(INDEX(Configurações!$B$5:$B$100,MATCH($C413,Configurações!$A$5:$A$100,0)),0))</f>
        <v/>
      </c>
      <c r="H413" s="78">
        <f>IF(OR($A413="",'Importar Reservas'!M405&lt;&gt;"Aprovado",$D413&lt;=0),"",MAX(0,IF($F413="Margem",$D413-$E413,$D413))*$G413)</f>
        <v/>
      </c>
    </row>
    <row r="414" ht="15" customHeight="1" s="79">
      <c r="A414" s="78">
        <f>IF('Importar Reservas'!A406="","",'Importar Reservas'!A406)</f>
        <v/>
      </c>
      <c r="B414" s="78">
        <f>IF($A414="","",'Importar Reservas'!B406)</f>
        <v/>
      </c>
      <c r="C414" s="78">
        <f>IF($A414="","",'Importar Reservas'!Z406)</f>
        <v/>
      </c>
      <c r="D414" s="78">
        <f>IF($A414="","",IF('Importar Reservas'!O406="",0,'Importar Reservas'!O406))</f>
        <v/>
      </c>
      <c r="E414" s="78">
        <f>IF($A414="","",IF('Importar Reservas'!N406="",0,'Importar Reservas'!N406))</f>
        <v/>
      </c>
      <c r="F414" s="78">
        <f>IF($A414="","",IFERROR(INDEX(Configurações!$C$5:$C$100,MATCH($C414,Configurações!$A$5:$A$100,0)),"Margem"))</f>
        <v/>
      </c>
      <c r="G414" s="78">
        <f>IF($A414="","",IFERROR(INDEX(Configurações!$B$5:$B$100,MATCH($C414,Configurações!$A$5:$A$100,0)),0))</f>
        <v/>
      </c>
      <c r="H414" s="78">
        <f>IF(OR($A414="",'Importar Reservas'!M406&lt;&gt;"Aprovado",$D414&lt;=0),"",MAX(0,IF($F414="Margem",$D414-$E414,$D414))*$G414)</f>
        <v/>
      </c>
    </row>
    <row r="415" ht="15" customHeight="1" s="79">
      <c r="A415" s="78">
        <f>IF('Importar Reservas'!A407="","",'Importar Reservas'!A407)</f>
        <v/>
      </c>
      <c r="B415" s="78">
        <f>IF($A415="","",'Importar Reservas'!B407)</f>
        <v/>
      </c>
      <c r="C415" s="78">
        <f>IF($A415="","",'Importar Reservas'!Z407)</f>
        <v/>
      </c>
      <c r="D415" s="78">
        <f>IF($A415="","",IF('Importar Reservas'!O407="",0,'Importar Reservas'!O407))</f>
        <v/>
      </c>
      <c r="E415" s="78">
        <f>IF($A415="","",IF('Importar Reservas'!N407="",0,'Importar Reservas'!N407))</f>
        <v/>
      </c>
      <c r="F415" s="78">
        <f>IF($A415="","",IFERROR(INDEX(Configurações!$C$5:$C$100,MATCH($C415,Configurações!$A$5:$A$100,0)),"Margem"))</f>
        <v/>
      </c>
      <c r="G415" s="78">
        <f>IF($A415="","",IFERROR(INDEX(Configurações!$B$5:$B$100,MATCH($C415,Configurações!$A$5:$A$100,0)),0))</f>
        <v/>
      </c>
      <c r="H415" s="78">
        <f>IF(OR($A415="",'Importar Reservas'!M407&lt;&gt;"Aprovado",$D415&lt;=0),"",MAX(0,IF($F415="Margem",$D415-$E415,$D415))*$G415)</f>
        <v/>
      </c>
    </row>
    <row r="416" ht="15" customHeight="1" s="79">
      <c r="A416" s="78">
        <f>IF('Importar Reservas'!A408="","",'Importar Reservas'!A408)</f>
        <v/>
      </c>
      <c r="B416" s="78">
        <f>IF($A416="","",'Importar Reservas'!B408)</f>
        <v/>
      </c>
      <c r="C416" s="78">
        <f>IF($A416="","",'Importar Reservas'!Z408)</f>
        <v/>
      </c>
      <c r="D416" s="78">
        <f>IF($A416="","",IF('Importar Reservas'!O408="",0,'Importar Reservas'!O408))</f>
        <v/>
      </c>
      <c r="E416" s="78">
        <f>IF($A416="","",IF('Importar Reservas'!N408="",0,'Importar Reservas'!N408))</f>
        <v/>
      </c>
      <c r="F416" s="78">
        <f>IF($A416="","",IFERROR(INDEX(Configurações!$C$5:$C$100,MATCH($C416,Configurações!$A$5:$A$100,0)),"Margem"))</f>
        <v/>
      </c>
      <c r="G416" s="78">
        <f>IF($A416="","",IFERROR(INDEX(Configurações!$B$5:$B$100,MATCH($C416,Configurações!$A$5:$A$100,0)),0))</f>
        <v/>
      </c>
      <c r="H416" s="78">
        <f>IF(OR($A416="",'Importar Reservas'!M408&lt;&gt;"Aprovado",$D416&lt;=0),"",MAX(0,IF($F416="Margem",$D416-$E416,$D416))*$G416)</f>
        <v/>
      </c>
    </row>
    <row r="417" ht="15" customHeight="1" s="79">
      <c r="A417" s="78">
        <f>IF('Importar Reservas'!A409="","",'Importar Reservas'!A409)</f>
        <v/>
      </c>
      <c r="B417" s="78">
        <f>IF($A417="","",'Importar Reservas'!B409)</f>
        <v/>
      </c>
      <c r="C417" s="78">
        <f>IF($A417="","",'Importar Reservas'!Z409)</f>
        <v/>
      </c>
      <c r="D417" s="78">
        <f>IF($A417="","",IF('Importar Reservas'!O409="",0,'Importar Reservas'!O409))</f>
        <v/>
      </c>
      <c r="E417" s="78">
        <f>IF($A417="","",IF('Importar Reservas'!N409="",0,'Importar Reservas'!N409))</f>
        <v/>
      </c>
      <c r="F417" s="78">
        <f>IF($A417="","",IFERROR(INDEX(Configurações!$C$5:$C$100,MATCH($C417,Configurações!$A$5:$A$100,0)),"Margem"))</f>
        <v/>
      </c>
      <c r="G417" s="78">
        <f>IF($A417="","",IFERROR(INDEX(Configurações!$B$5:$B$100,MATCH($C417,Configurações!$A$5:$A$100,0)),0))</f>
        <v/>
      </c>
      <c r="H417" s="78">
        <f>IF(OR($A417="",'Importar Reservas'!M409&lt;&gt;"Aprovado",$D417&lt;=0),"",MAX(0,IF($F417="Margem",$D417-$E417,$D417))*$G417)</f>
        <v/>
      </c>
    </row>
    <row r="418" ht="15" customHeight="1" s="79">
      <c r="A418" s="78">
        <f>IF('Importar Reservas'!A410="","",'Importar Reservas'!A410)</f>
        <v/>
      </c>
      <c r="B418" s="78">
        <f>IF($A418="","",'Importar Reservas'!B410)</f>
        <v/>
      </c>
      <c r="C418" s="78">
        <f>IF($A418="","",'Importar Reservas'!Z410)</f>
        <v/>
      </c>
      <c r="D418" s="78">
        <f>IF($A418="","",IF('Importar Reservas'!O410="",0,'Importar Reservas'!O410))</f>
        <v/>
      </c>
      <c r="E418" s="78">
        <f>IF($A418="","",IF('Importar Reservas'!N410="",0,'Importar Reservas'!N410))</f>
        <v/>
      </c>
      <c r="F418" s="78">
        <f>IF($A418="","",IFERROR(INDEX(Configurações!$C$5:$C$100,MATCH($C418,Configurações!$A$5:$A$100,0)),"Margem"))</f>
        <v/>
      </c>
      <c r="G418" s="78">
        <f>IF($A418="","",IFERROR(INDEX(Configurações!$B$5:$B$100,MATCH($C418,Configurações!$A$5:$A$100,0)),0))</f>
        <v/>
      </c>
      <c r="H418" s="78">
        <f>IF(OR($A418="",'Importar Reservas'!M410&lt;&gt;"Aprovado",$D418&lt;=0),"",MAX(0,IF($F418="Margem",$D418-$E418,$D418))*$G418)</f>
        <v/>
      </c>
    </row>
    <row r="419" ht="15" customHeight="1" s="79">
      <c r="A419" s="78">
        <f>IF('Importar Reservas'!A411="","",'Importar Reservas'!A411)</f>
        <v/>
      </c>
      <c r="B419" s="78">
        <f>IF($A419="","",'Importar Reservas'!B411)</f>
        <v/>
      </c>
      <c r="C419" s="78">
        <f>IF($A419="","",'Importar Reservas'!Z411)</f>
        <v/>
      </c>
      <c r="D419" s="78">
        <f>IF($A419="","",IF('Importar Reservas'!O411="",0,'Importar Reservas'!O411))</f>
        <v/>
      </c>
      <c r="E419" s="78">
        <f>IF($A419="","",IF('Importar Reservas'!N411="",0,'Importar Reservas'!N411))</f>
        <v/>
      </c>
      <c r="F419" s="78">
        <f>IF($A419="","",IFERROR(INDEX(Configurações!$C$5:$C$100,MATCH($C419,Configurações!$A$5:$A$100,0)),"Margem"))</f>
        <v/>
      </c>
      <c r="G419" s="78">
        <f>IF($A419="","",IFERROR(INDEX(Configurações!$B$5:$B$100,MATCH($C419,Configurações!$A$5:$A$100,0)),0))</f>
        <v/>
      </c>
      <c r="H419" s="78">
        <f>IF(OR($A419="",'Importar Reservas'!M411&lt;&gt;"Aprovado",$D419&lt;=0),"",MAX(0,IF($F419="Margem",$D419-$E419,$D419))*$G419)</f>
        <v/>
      </c>
    </row>
    <row r="420" ht="15" customHeight="1" s="79">
      <c r="A420" s="78">
        <f>IF('Importar Reservas'!A412="","",'Importar Reservas'!A412)</f>
        <v/>
      </c>
      <c r="B420" s="78">
        <f>IF($A420="","",'Importar Reservas'!B412)</f>
        <v/>
      </c>
      <c r="C420" s="78">
        <f>IF($A420="","",'Importar Reservas'!Z412)</f>
        <v/>
      </c>
      <c r="D420" s="78">
        <f>IF($A420="","",IF('Importar Reservas'!O412="",0,'Importar Reservas'!O412))</f>
        <v/>
      </c>
      <c r="E420" s="78">
        <f>IF($A420="","",IF('Importar Reservas'!N412="",0,'Importar Reservas'!N412))</f>
        <v/>
      </c>
      <c r="F420" s="78">
        <f>IF($A420="","",IFERROR(INDEX(Configurações!$C$5:$C$100,MATCH($C420,Configurações!$A$5:$A$100,0)),"Margem"))</f>
        <v/>
      </c>
      <c r="G420" s="78">
        <f>IF($A420="","",IFERROR(INDEX(Configurações!$B$5:$B$100,MATCH($C420,Configurações!$A$5:$A$100,0)),0))</f>
        <v/>
      </c>
      <c r="H420" s="78">
        <f>IF(OR($A420="",'Importar Reservas'!M412&lt;&gt;"Aprovado",$D420&lt;=0),"",MAX(0,IF($F420="Margem",$D420-$E420,$D420))*$G420)</f>
        <v/>
      </c>
    </row>
    <row r="421" ht="15" customHeight="1" s="79">
      <c r="A421" s="78">
        <f>IF('Importar Reservas'!A413="","",'Importar Reservas'!A413)</f>
        <v/>
      </c>
      <c r="B421" s="78">
        <f>IF($A421="","",'Importar Reservas'!B413)</f>
        <v/>
      </c>
      <c r="C421" s="78">
        <f>IF($A421="","",'Importar Reservas'!Z413)</f>
        <v/>
      </c>
      <c r="D421" s="78">
        <f>IF($A421="","",IF('Importar Reservas'!O413="",0,'Importar Reservas'!O413))</f>
        <v/>
      </c>
      <c r="E421" s="78">
        <f>IF($A421="","",IF('Importar Reservas'!N413="",0,'Importar Reservas'!N413))</f>
        <v/>
      </c>
      <c r="F421" s="78">
        <f>IF($A421="","",IFERROR(INDEX(Configurações!$C$5:$C$100,MATCH($C421,Configurações!$A$5:$A$100,0)),"Margem"))</f>
        <v/>
      </c>
      <c r="G421" s="78">
        <f>IF($A421="","",IFERROR(INDEX(Configurações!$B$5:$B$100,MATCH($C421,Configurações!$A$5:$A$100,0)),0))</f>
        <v/>
      </c>
      <c r="H421" s="78">
        <f>IF(OR($A421="",'Importar Reservas'!M413&lt;&gt;"Aprovado",$D421&lt;=0),"",MAX(0,IF($F421="Margem",$D421-$E421,$D421))*$G421)</f>
        <v/>
      </c>
    </row>
    <row r="422" ht="15" customHeight="1" s="79">
      <c r="A422" s="78">
        <f>IF('Importar Reservas'!A414="","",'Importar Reservas'!A414)</f>
        <v/>
      </c>
      <c r="B422" s="78">
        <f>IF($A422="","",'Importar Reservas'!B414)</f>
        <v/>
      </c>
      <c r="C422" s="78">
        <f>IF($A422="","",'Importar Reservas'!Z414)</f>
        <v/>
      </c>
      <c r="D422" s="78">
        <f>IF($A422="","",IF('Importar Reservas'!O414="",0,'Importar Reservas'!O414))</f>
        <v/>
      </c>
      <c r="E422" s="78">
        <f>IF($A422="","",IF('Importar Reservas'!N414="",0,'Importar Reservas'!N414))</f>
        <v/>
      </c>
      <c r="F422" s="78">
        <f>IF($A422="","",IFERROR(INDEX(Configurações!$C$5:$C$100,MATCH($C422,Configurações!$A$5:$A$100,0)),"Margem"))</f>
        <v/>
      </c>
      <c r="G422" s="78">
        <f>IF($A422="","",IFERROR(INDEX(Configurações!$B$5:$B$100,MATCH($C422,Configurações!$A$5:$A$100,0)),0))</f>
        <v/>
      </c>
      <c r="H422" s="78">
        <f>IF(OR($A422="",'Importar Reservas'!M414&lt;&gt;"Aprovado",$D422&lt;=0),"",MAX(0,IF($F422="Margem",$D422-$E422,$D422))*$G422)</f>
        <v/>
      </c>
    </row>
    <row r="423" ht="15" customHeight="1" s="79">
      <c r="A423" s="78">
        <f>IF('Importar Reservas'!A415="","",'Importar Reservas'!A415)</f>
        <v/>
      </c>
      <c r="B423" s="78">
        <f>IF($A423="","",'Importar Reservas'!B415)</f>
        <v/>
      </c>
      <c r="C423" s="78">
        <f>IF($A423="","",'Importar Reservas'!Z415)</f>
        <v/>
      </c>
      <c r="D423" s="78">
        <f>IF($A423="","",IF('Importar Reservas'!O415="",0,'Importar Reservas'!O415))</f>
        <v/>
      </c>
      <c r="E423" s="78">
        <f>IF($A423="","",IF('Importar Reservas'!N415="",0,'Importar Reservas'!N415))</f>
        <v/>
      </c>
      <c r="F423" s="78">
        <f>IF($A423="","",IFERROR(INDEX(Configurações!$C$5:$C$100,MATCH($C423,Configurações!$A$5:$A$100,0)),"Margem"))</f>
        <v/>
      </c>
      <c r="G423" s="78">
        <f>IF($A423="","",IFERROR(INDEX(Configurações!$B$5:$B$100,MATCH($C423,Configurações!$A$5:$A$100,0)),0))</f>
        <v/>
      </c>
      <c r="H423" s="78">
        <f>IF(OR($A423="",'Importar Reservas'!M415&lt;&gt;"Aprovado",$D423&lt;=0),"",MAX(0,IF($F423="Margem",$D423-$E423,$D423))*$G423)</f>
        <v/>
      </c>
    </row>
    <row r="424" ht="15" customHeight="1" s="79">
      <c r="A424" s="78">
        <f>IF('Importar Reservas'!A416="","",'Importar Reservas'!A416)</f>
        <v/>
      </c>
      <c r="B424" s="78">
        <f>IF($A424="","",'Importar Reservas'!B416)</f>
        <v/>
      </c>
      <c r="C424" s="78">
        <f>IF($A424="","",'Importar Reservas'!Z416)</f>
        <v/>
      </c>
      <c r="D424" s="78">
        <f>IF($A424="","",IF('Importar Reservas'!O416="",0,'Importar Reservas'!O416))</f>
        <v/>
      </c>
      <c r="E424" s="78">
        <f>IF($A424="","",IF('Importar Reservas'!N416="",0,'Importar Reservas'!N416))</f>
        <v/>
      </c>
      <c r="F424" s="78">
        <f>IF($A424="","",IFERROR(INDEX(Configurações!$C$5:$C$100,MATCH($C424,Configurações!$A$5:$A$100,0)),"Margem"))</f>
        <v/>
      </c>
      <c r="G424" s="78">
        <f>IF($A424="","",IFERROR(INDEX(Configurações!$B$5:$B$100,MATCH($C424,Configurações!$A$5:$A$100,0)),0))</f>
        <v/>
      </c>
      <c r="H424" s="78">
        <f>IF(OR($A424="",'Importar Reservas'!M416&lt;&gt;"Aprovado",$D424&lt;=0),"",MAX(0,IF($F424="Margem",$D424-$E424,$D424))*$G424)</f>
        <v/>
      </c>
    </row>
    <row r="425" ht="15" customHeight="1" s="79">
      <c r="A425" s="78">
        <f>IF('Importar Reservas'!A417="","",'Importar Reservas'!A417)</f>
        <v/>
      </c>
      <c r="B425" s="78">
        <f>IF($A425="","",'Importar Reservas'!B417)</f>
        <v/>
      </c>
      <c r="C425" s="78">
        <f>IF($A425="","",'Importar Reservas'!Z417)</f>
        <v/>
      </c>
      <c r="D425" s="78">
        <f>IF($A425="","",IF('Importar Reservas'!O417="",0,'Importar Reservas'!O417))</f>
        <v/>
      </c>
      <c r="E425" s="78">
        <f>IF($A425="","",IF('Importar Reservas'!N417="",0,'Importar Reservas'!N417))</f>
        <v/>
      </c>
      <c r="F425" s="78">
        <f>IF($A425="","",IFERROR(INDEX(Configurações!$C$5:$C$100,MATCH($C425,Configurações!$A$5:$A$100,0)),"Margem"))</f>
        <v/>
      </c>
      <c r="G425" s="78">
        <f>IF($A425="","",IFERROR(INDEX(Configurações!$B$5:$B$100,MATCH($C425,Configurações!$A$5:$A$100,0)),0))</f>
        <v/>
      </c>
      <c r="H425" s="78">
        <f>IF(OR($A425="",'Importar Reservas'!M417&lt;&gt;"Aprovado",$D425&lt;=0),"",MAX(0,IF($F425="Margem",$D425-$E425,$D425))*$G425)</f>
        <v/>
      </c>
    </row>
    <row r="426" ht="15" customHeight="1" s="79">
      <c r="A426" s="78">
        <f>IF('Importar Reservas'!A418="","",'Importar Reservas'!A418)</f>
        <v/>
      </c>
      <c r="B426" s="78">
        <f>IF($A426="","",'Importar Reservas'!B418)</f>
        <v/>
      </c>
      <c r="C426" s="78">
        <f>IF($A426="","",'Importar Reservas'!Z418)</f>
        <v/>
      </c>
      <c r="D426" s="78">
        <f>IF($A426="","",IF('Importar Reservas'!O418="",0,'Importar Reservas'!O418))</f>
        <v/>
      </c>
      <c r="E426" s="78">
        <f>IF($A426="","",IF('Importar Reservas'!N418="",0,'Importar Reservas'!N418))</f>
        <v/>
      </c>
      <c r="F426" s="78">
        <f>IF($A426="","",IFERROR(INDEX(Configurações!$C$5:$C$100,MATCH($C426,Configurações!$A$5:$A$100,0)),"Margem"))</f>
        <v/>
      </c>
      <c r="G426" s="78">
        <f>IF($A426="","",IFERROR(INDEX(Configurações!$B$5:$B$100,MATCH($C426,Configurações!$A$5:$A$100,0)),0))</f>
        <v/>
      </c>
      <c r="H426" s="78">
        <f>IF(OR($A426="",'Importar Reservas'!M418&lt;&gt;"Aprovado",$D426&lt;=0),"",MAX(0,IF($F426="Margem",$D426-$E426,$D426))*$G426)</f>
        <v/>
      </c>
    </row>
    <row r="427" ht="15" customHeight="1" s="79">
      <c r="A427" s="78">
        <f>IF('Importar Reservas'!A419="","",'Importar Reservas'!A419)</f>
        <v/>
      </c>
      <c r="B427" s="78">
        <f>IF($A427="","",'Importar Reservas'!B419)</f>
        <v/>
      </c>
      <c r="C427" s="78">
        <f>IF($A427="","",'Importar Reservas'!Z419)</f>
        <v/>
      </c>
      <c r="D427" s="78">
        <f>IF($A427="","",IF('Importar Reservas'!O419="",0,'Importar Reservas'!O419))</f>
        <v/>
      </c>
      <c r="E427" s="78">
        <f>IF($A427="","",IF('Importar Reservas'!N419="",0,'Importar Reservas'!N419))</f>
        <v/>
      </c>
      <c r="F427" s="78">
        <f>IF($A427="","",IFERROR(INDEX(Configurações!$C$5:$C$100,MATCH($C427,Configurações!$A$5:$A$100,0)),"Margem"))</f>
        <v/>
      </c>
      <c r="G427" s="78">
        <f>IF($A427="","",IFERROR(INDEX(Configurações!$B$5:$B$100,MATCH($C427,Configurações!$A$5:$A$100,0)),0))</f>
        <v/>
      </c>
      <c r="H427" s="78">
        <f>IF(OR($A427="",'Importar Reservas'!M419&lt;&gt;"Aprovado",$D427&lt;=0),"",MAX(0,IF($F427="Margem",$D427-$E427,$D427))*$G427)</f>
        <v/>
      </c>
    </row>
    <row r="428" ht="15" customHeight="1" s="79">
      <c r="A428" s="78">
        <f>IF('Importar Reservas'!A420="","",'Importar Reservas'!A420)</f>
        <v/>
      </c>
      <c r="B428" s="78">
        <f>IF($A428="","",'Importar Reservas'!B420)</f>
        <v/>
      </c>
      <c r="C428" s="78">
        <f>IF($A428="","",'Importar Reservas'!Z420)</f>
        <v/>
      </c>
      <c r="D428" s="78">
        <f>IF($A428="","",IF('Importar Reservas'!O420="",0,'Importar Reservas'!O420))</f>
        <v/>
      </c>
      <c r="E428" s="78">
        <f>IF($A428="","",IF('Importar Reservas'!N420="",0,'Importar Reservas'!N420))</f>
        <v/>
      </c>
      <c r="F428" s="78">
        <f>IF($A428="","",IFERROR(INDEX(Configurações!$C$5:$C$100,MATCH($C428,Configurações!$A$5:$A$100,0)),"Margem"))</f>
        <v/>
      </c>
      <c r="G428" s="78">
        <f>IF($A428="","",IFERROR(INDEX(Configurações!$B$5:$B$100,MATCH($C428,Configurações!$A$5:$A$100,0)),0))</f>
        <v/>
      </c>
      <c r="H428" s="78">
        <f>IF(OR($A428="",'Importar Reservas'!M420&lt;&gt;"Aprovado",$D428&lt;=0),"",MAX(0,IF($F428="Margem",$D428-$E428,$D428))*$G428)</f>
        <v/>
      </c>
    </row>
    <row r="429" ht="15" customHeight="1" s="79">
      <c r="A429" s="78">
        <f>IF('Importar Reservas'!A421="","",'Importar Reservas'!A421)</f>
        <v/>
      </c>
      <c r="B429" s="78">
        <f>IF($A429="","",'Importar Reservas'!B421)</f>
        <v/>
      </c>
      <c r="C429" s="78">
        <f>IF($A429="","",'Importar Reservas'!Z421)</f>
        <v/>
      </c>
      <c r="D429" s="78">
        <f>IF($A429="","",IF('Importar Reservas'!O421="",0,'Importar Reservas'!O421))</f>
        <v/>
      </c>
      <c r="E429" s="78">
        <f>IF($A429="","",IF('Importar Reservas'!N421="",0,'Importar Reservas'!N421))</f>
        <v/>
      </c>
      <c r="F429" s="78">
        <f>IF($A429="","",IFERROR(INDEX(Configurações!$C$5:$C$100,MATCH($C429,Configurações!$A$5:$A$100,0)),"Margem"))</f>
        <v/>
      </c>
      <c r="G429" s="78">
        <f>IF($A429="","",IFERROR(INDEX(Configurações!$B$5:$B$100,MATCH($C429,Configurações!$A$5:$A$100,0)),0))</f>
        <v/>
      </c>
      <c r="H429" s="78">
        <f>IF(OR($A429="",'Importar Reservas'!M421&lt;&gt;"Aprovado",$D429&lt;=0),"",MAX(0,IF($F429="Margem",$D429-$E429,$D429))*$G429)</f>
        <v/>
      </c>
    </row>
    <row r="430" ht="15" customHeight="1" s="79">
      <c r="A430" s="78">
        <f>IF('Importar Reservas'!A422="","",'Importar Reservas'!A422)</f>
        <v/>
      </c>
      <c r="B430" s="78">
        <f>IF($A430="","",'Importar Reservas'!B422)</f>
        <v/>
      </c>
      <c r="C430" s="78">
        <f>IF($A430="","",'Importar Reservas'!Z422)</f>
        <v/>
      </c>
      <c r="D430" s="78">
        <f>IF($A430="","",IF('Importar Reservas'!O422="",0,'Importar Reservas'!O422))</f>
        <v/>
      </c>
      <c r="E430" s="78">
        <f>IF($A430="","",IF('Importar Reservas'!N422="",0,'Importar Reservas'!N422))</f>
        <v/>
      </c>
      <c r="F430" s="78">
        <f>IF($A430="","",IFERROR(INDEX(Configurações!$C$5:$C$100,MATCH($C430,Configurações!$A$5:$A$100,0)),"Margem"))</f>
        <v/>
      </c>
      <c r="G430" s="78">
        <f>IF($A430="","",IFERROR(INDEX(Configurações!$B$5:$B$100,MATCH($C430,Configurações!$A$5:$A$100,0)),0))</f>
        <v/>
      </c>
      <c r="H430" s="78">
        <f>IF(OR($A430="",'Importar Reservas'!M422&lt;&gt;"Aprovado",$D430&lt;=0),"",MAX(0,IF($F430="Margem",$D430-$E430,$D430))*$G430)</f>
        <v/>
      </c>
    </row>
    <row r="431" ht="15" customHeight="1" s="79">
      <c r="A431" s="78">
        <f>IF('Importar Reservas'!A423="","",'Importar Reservas'!A423)</f>
        <v/>
      </c>
      <c r="B431" s="78">
        <f>IF($A431="","",'Importar Reservas'!B423)</f>
        <v/>
      </c>
      <c r="C431" s="78">
        <f>IF($A431="","",'Importar Reservas'!Z423)</f>
        <v/>
      </c>
      <c r="D431" s="78">
        <f>IF($A431="","",IF('Importar Reservas'!O423="",0,'Importar Reservas'!O423))</f>
        <v/>
      </c>
      <c r="E431" s="78">
        <f>IF($A431="","",IF('Importar Reservas'!N423="",0,'Importar Reservas'!N423))</f>
        <v/>
      </c>
      <c r="F431" s="78">
        <f>IF($A431="","",IFERROR(INDEX(Configurações!$C$5:$C$100,MATCH($C431,Configurações!$A$5:$A$100,0)),"Margem"))</f>
        <v/>
      </c>
      <c r="G431" s="78">
        <f>IF($A431="","",IFERROR(INDEX(Configurações!$B$5:$B$100,MATCH($C431,Configurações!$A$5:$A$100,0)),0))</f>
        <v/>
      </c>
      <c r="H431" s="78">
        <f>IF(OR($A431="",'Importar Reservas'!M423&lt;&gt;"Aprovado",$D431&lt;=0),"",MAX(0,IF($F431="Margem",$D431-$E431,$D431))*$G431)</f>
        <v/>
      </c>
    </row>
    <row r="432" ht="15" customHeight="1" s="79">
      <c r="A432" s="78">
        <f>IF('Importar Reservas'!A424="","",'Importar Reservas'!A424)</f>
        <v/>
      </c>
      <c r="B432" s="78">
        <f>IF($A432="","",'Importar Reservas'!B424)</f>
        <v/>
      </c>
      <c r="C432" s="78">
        <f>IF($A432="","",'Importar Reservas'!Z424)</f>
        <v/>
      </c>
      <c r="D432" s="78">
        <f>IF($A432="","",IF('Importar Reservas'!O424="",0,'Importar Reservas'!O424))</f>
        <v/>
      </c>
      <c r="E432" s="78">
        <f>IF($A432="","",IF('Importar Reservas'!N424="",0,'Importar Reservas'!N424))</f>
        <v/>
      </c>
      <c r="F432" s="78">
        <f>IF($A432="","",IFERROR(INDEX(Configurações!$C$5:$C$100,MATCH($C432,Configurações!$A$5:$A$100,0)),"Margem"))</f>
        <v/>
      </c>
      <c r="G432" s="78">
        <f>IF($A432="","",IFERROR(INDEX(Configurações!$B$5:$B$100,MATCH($C432,Configurações!$A$5:$A$100,0)),0))</f>
        <v/>
      </c>
      <c r="H432" s="78">
        <f>IF(OR($A432="",'Importar Reservas'!M424&lt;&gt;"Aprovado",$D432&lt;=0),"",MAX(0,IF($F432="Margem",$D432-$E432,$D432))*$G432)</f>
        <v/>
      </c>
    </row>
    <row r="433" ht="15" customHeight="1" s="79">
      <c r="A433" s="78">
        <f>IF('Importar Reservas'!A425="","",'Importar Reservas'!A425)</f>
        <v/>
      </c>
      <c r="B433" s="78">
        <f>IF($A433="","",'Importar Reservas'!B425)</f>
        <v/>
      </c>
      <c r="C433" s="78">
        <f>IF($A433="","",'Importar Reservas'!Z425)</f>
        <v/>
      </c>
      <c r="D433" s="78">
        <f>IF($A433="","",IF('Importar Reservas'!O425="",0,'Importar Reservas'!O425))</f>
        <v/>
      </c>
      <c r="E433" s="78">
        <f>IF($A433="","",IF('Importar Reservas'!N425="",0,'Importar Reservas'!N425))</f>
        <v/>
      </c>
      <c r="F433" s="78">
        <f>IF($A433="","",IFERROR(INDEX(Configurações!$C$5:$C$100,MATCH($C433,Configurações!$A$5:$A$100,0)),"Margem"))</f>
        <v/>
      </c>
      <c r="G433" s="78">
        <f>IF($A433="","",IFERROR(INDEX(Configurações!$B$5:$B$100,MATCH($C433,Configurações!$A$5:$A$100,0)),0))</f>
        <v/>
      </c>
      <c r="H433" s="78">
        <f>IF(OR($A433="",'Importar Reservas'!M425&lt;&gt;"Aprovado",$D433&lt;=0),"",MAX(0,IF($F433="Margem",$D433-$E433,$D433))*$G433)</f>
        <v/>
      </c>
    </row>
    <row r="434" ht="15" customHeight="1" s="79">
      <c r="A434" s="78">
        <f>IF('Importar Reservas'!A426="","",'Importar Reservas'!A426)</f>
        <v/>
      </c>
      <c r="B434" s="78">
        <f>IF($A434="","",'Importar Reservas'!B426)</f>
        <v/>
      </c>
      <c r="C434" s="78">
        <f>IF($A434="","",'Importar Reservas'!Z426)</f>
        <v/>
      </c>
      <c r="D434" s="78">
        <f>IF($A434="","",IF('Importar Reservas'!O426="",0,'Importar Reservas'!O426))</f>
        <v/>
      </c>
      <c r="E434" s="78">
        <f>IF($A434="","",IF('Importar Reservas'!N426="",0,'Importar Reservas'!N426))</f>
        <v/>
      </c>
      <c r="F434" s="78">
        <f>IF($A434="","",IFERROR(INDEX(Configurações!$C$5:$C$100,MATCH($C434,Configurações!$A$5:$A$100,0)),"Margem"))</f>
        <v/>
      </c>
      <c r="G434" s="78">
        <f>IF($A434="","",IFERROR(INDEX(Configurações!$B$5:$B$100,MATCH($C434,Configurações!$A$5:$A$100,0)),0))</f>
        <v/>
      </c>
      <c r="H434" s="78">
        <f>IF(OR($A434="",'Importar Reservas'!M426&lt;&gt;"Aprovado",$D434&lt;=0),"",MAX(0,IF($F434="Margem",$D434-$E434,$D434))*$G434)</f>
        <v/>
      </c>
    </row>
    <row r="435" ht="15" customHeight="1" s="79">
      <c r="A435" s="78">
        <f>IF('Importar Reservas'!A427="","",'Importar Reservas'!A427)</f>
        <v/>
      </c>
      <c r="B435" s="78">
        <f>IF($A435="","",'Importar Reservas'!B427)</f>
        <v/>
      </c>
      <c r="C435" s="78">
        <f>IF($A435="","",'Importar Reservas'!Z427)</f>
        <v/>
      </c>
      <c r="D435" s="78">
        <f>IF($A435="","",IF('Importar Reservas'!O427="",0,'Importar Reservas'!O427))</f>
        <v/>
      </c>
      <c r="E435" s="78">
        <f>IF($A435="","",IF('Importar Reservas'!N427="",0,'Importar Reservas'!N427))</f>
        <v/>
      </c>
      <c r="F435" s="78">
        <f>IF($A435="","",IFERROR(INDEX(Configurações!$C$5:$C$100,MATCH($C435,Configurações!$A$5:$A$100,0)),"Margem"))</f>
        <v/>
      </c>
      <c r="G435" s="78">
        <f>IF($A435="","",IFERROR(INDEX(Configurações!$B$5:$B$100,MATCH($C435,Configurações!$A$5:$A$100,0)),0))</f>
        <v/>
      </c>
      <c r="H435" s="78">
        <f>IF(OR($A435="",'Importar Reservas'!M427&lt;&gt;"Aprovado",$D435&lt;=0),"",MAX(0,IF($F435="Margem",$D435-$E435,$D435))*$G435)</f>
        <v/>
      </c>
    </row>
    <row r="436" ht="15" customHeight="1" s="79">
      <c r="A436" s="78">
        <f>IF('Importar Reservas'!A428="","",'Importar Reservas'!A428)</f>
        <v/>
      </c>
      <c r="B436" s="78">
        <f>IF($A436="","",'Importar Reservas'!B428)</f>
        <v/>
      </c>
      <c r="C436" s="78">
        <f>IF($A436="","",'Importar Reservas'!Z428)</f>
        <v/>
      </c>
      <c r="D436" s="78">
        <f>IF($A436="","",IF('Importar Reservas'!O428="",0,'Importar Reservas'!O428))</f>
        <v/>
      </c>
      <c r="E436" s="78">
        <f>IF($A436="","",IF('Importar Reservas'!N428="",0,'Importar Reservas'!N428))</f>
        <v/>
      </c>
      <c r="F436" s="78">
        <f>IF($A436="","",IFERROR(INDEX(Configurações!$C$5:$C$100,MATCH($C436,Configurações!$A$5:$A$100,0)),"Margem"))</f>
        <v/>
      </c>
      <c r="G436" s="78">
        <f>IF($A436="","",IFERROR(INDEX(Configurações!$B$5:$B$100,MATCH($C436,Configurações!$A$5:$A$100,0)),0))</f>
        <v/>
      </c>
      <c r="H436" s="78">
        <f>IF(OR($A436="",'Importar Reservas'!M428&lt;&gt;"Aprovado",$D436&lt;=0),"",MAX(0,IF($F436="Margem",$D436-$E436,$D436))*$G436)</f>
        <v/>
      </c>
    </row>
    <row r="437" ht="15" customHeight="1" s="79">
      <c r="A437" s="78">
        <f>IF('Importar Reservas'!A429="","",'Importar Reservas'!A429)</f>
        <v/>
      </c>
      <c r="B437" s="78">
        <f>IF($A437="","",'Importar Reservas'!B429)</f>
        <v/>
      </c>
      <c r="C437" s="78">
        <f>IF($A437="","",'Importar Reservas'!Z429)</f>
        <v/>
      </c>
      <c r="D437" s="78">
        <f>IF($A437="","",IF('Importar Reservas'!O429="",0,'Importar Reservas'!O429))</f>
        <v/>
      </c>
      <c r="E437" s="78">
        <f>IF($A437="","",IF('Importar Reservas'!N429="",0,'Importar Reservas'!N429))</f>
        <v/>
      </c>
      <c r="F437" s="78">
        <f>IF($A437="","",IFERROR(INDEX(Configurações!$C$5:$C$100,MATCH($C437,Configurações!$A$5:$A$100,0)),"Margem"))</f>
        <v/>
      </c>
      <c r="G437" s="78">
        <f>IF($A437="","",IFERROR(INDEX(Configurações!$B$5:$B$100,MATCH($C437,Configurações!$A$5:$A$100,0)),0))</f>
        <v/>
      </c>
      <c r="H437" s="78">
        <f>IF(OR($A437="",'Importar Reservas'!M429&lt;&gt;"Aprovado",$D437&lt;=0),"",MAX(0,IF($F437="Margem",$D437-$E437,$D437))*$G437)</f>
        <v/>
      </c>
    </row>
    <row r="438" ht="15" customHeight="1" s="79">
      <c r="A438" s="78">
        <f>IF('Importar Reservas'!A430="","",'Importar Reservas'!A430)</f>
        <v/>
      </c>
      <c r="B438" s="78">
        <f>IF($A438="","",'Importar Reservas'!B430)</f>
        <v/>
      </c>
      <c r="C438" s="78">
        <f>IF($A438="","",'Importar Reservas'!Z430)</f>
        <v/>
      </c>
      <c r="D438" s="78">
        <f>IF($A438="","",IF('Importar Reservas'!O430="",0,'Importar Reservas'!O430))</f>
        <v/>
      </c>
      <c r="E438" s="78">
        <f>IF($A438="","",IF('Importar Reservas'!N430="",0,'Importar Reservas'!N430))</f>
        <v/>
      </c>
      <c r="F438" s="78">
        <f>IF($A438="","",IFERROR(INDEX(Configurações!$C$5:$C$100,MATCH($C438,Configurações!$A$5:$A$100,0)),"Margem"))</f>
        <v/>
      </c>
      <c r="G438" s="78">
        <f>IF($A438="","",IFERROR(INDEX(Configurações!$B$5:$B$100,MATCH($C438,Configurações!$A$5:$A$100,0)),0))</f>
        <v/>
      </c>
      <c r="H438" s="78">
        <f>IF(OR($A438="",'Importar Reservas'!M430&lt;&gt;"Aprovado",$D438&lt;=0),"",MAX(0,IF($F438="Margem",$D438-$E438,$D438))*$G438)</f>
        <v/>
      </c>
    </row>
    <row r="439" ht="15" customHeight="1" s="79">
      <c r="A439" s="78">
        <f>IF('Importar Reservas'!A431="","",'Importar Reservas'!A431)</f>
        <v/>
      </c>
      <c r="B439" s="78">
        <f>IF($A439="","",'Importar Reservas'!B431)</f>
        <v/>
      </c>
      <c r="C439" s="78">
        <f>IF($A439="","",'Importar Reservas'!Z431)</f>
        <v/>
      </c>
      <c r="D439" s="78">
        <f>IF($A439="","",IF('Importar Reservas'!O431="",0,'Importar Reservas'!O431))</f>
        <v/>
      </c>
      <c r="E439" s="78">
        <f>IF($A439="","",IF('Importar Reservas'!N431="",0,'Importar Reservas'!N431))</f>
        <v/>
      </c>
      <c r="F439" s="78">
        <f>IF($A439="","",IFERROR(INDEX(Configurações!$C$5:$C$100,MATCH($C439,Configurações!$A$5:$A$100,0)),"Margem"))</f>
        <v/>
      </c>
      <c r="G439" s="78">
        <f>IF($A439="","",IFERROR(INDEX(Configurações!$B$5:$B$100,MATCH($C439,Configurações!$A$5:$A$100,0)),0))</f>
        <v/>
      </c>
      <c r="H439" s="78">
        <f>IF(OR($A439="",'Importar Reservas'!M431&lt;&gt;"Aprovado",$D439&lt;=0),"",MAX(0,IF($F439="Margem",$D439-$E439,$D439))*$G439)</f>
        <v/>
      </c>
    </row>
    <row r="440" ht="15" customHeight="1" s="79">
      <c r="A440" s="78">
        <f>IF('Importar Reservas'!A432="","",'Importar Reservas'!A432)</f>
        <v/>
      </c>
      <c r="B440" s="78">
        <f>IF($A440="","",'Importar Reservas'!B432)</f>
        <v/>
      </c>
      <c r="C440" s="78">
        <f>IF($A440="","",'Importar Reservas'!Z432)</f>
        <v/>
      </c>
      <c r="D440" s="78">
        <f>IF($A440="","",IF('Importar Reservas'!O432="",0,'Importar Reservas'!O432))</f>
        <v/>
      </c>
      <c r="E440" s="78">
        <f>IF($A440="","",IF('Importar Reservas'!N432="",0,'Importar Reservas'!N432))</f>
        <v/>
      </c>
      <c r="F440" s="78">
        <f>IF($A440="","",IFERROR(INDEX(Configurações!$C$5:$C$100,MATCH($C440,Configurações!$A$5:$A$100,0)),"Margem"))</f>
        <v/>
      </c>
      <c r="G440" s="78">
        <f>IF($A440="","",IFERROR(INDEX(Configurações!$B$5:$B$100,MATCH($C440,Configurações!$A$5:$A$100,0)),0))</f>
        <v/>
      </c>
      <c r="H440" s="78">
        <f>IF(OR($A440="",'Importar Reservas'!M432&lt;&gt;"Aprovado",$D440&lt;=0),"",MAX(0,IF($F440="Margem",$D440-$E440,$D440))*$G440)</f>
        <v/>
      </c>
    </row>
    <row r="441" ht="15" customHeight="1" s="79">
      <c r="A441" s="78">
        <f>IF('Importar Reservas'!A433="","",'Importar Reservas'!A433)</f>
        <v/>
      </c>
      <c r="B441" s="78">
        <f>IF($A441="","",'Importar Reservas'!B433)</f>
        <v/>
      </c>
      <c r="C441" s="78">
        <f>IF($A441="","",'Importar Reservas'!Z433)</f>
        <v/>
      </c>
      <c r="D441" s="78">
        <f>IF($A441="","",IF('Importar Reservas'!O433="",0,'Importar Reservas'!O433))</f>
        <v/>
      </c>
      <c r="E441" s="78">
        <f>IF($A441="","",IF('Importar Reservas'!N433="",0,'Importar Reservas'!N433))</f>
        <v/>
      </c>
      <c r="F441" s="78">
        <f>IF($A441="","",IFERROR(INDEX(Configurações!$C$5:$C$100,MATCH($C441,Configurações!$A$5:$A$100,0)),"Margem"))</f>
        <v/>
      </c>
      <c r="G441" s="78">
        <f>IF($A441="","",IFERROR(INDEX(Configurações!$B$5:$B$100,MATCH($C441,Configurações!$A$5:$A$100,0)),0))</f>
        <v/>
      </c>
      <c r="H441" s="78">
        <f>IF(OR($A441="",'Importar Reservas'!M433&lt;&gt;"Aprovado",$D441&lt;=0),"",MAX(0,IF($F441="Margem",$D441-$E441,$D441))*$G441)</f>
        <v/>
      </c>
    </row>
    <row r="442" ht="15" customHeight="1" s="79">
      <c r="A442" s="78">
        <f>IF('Importar Reservas'!A434="","",'Importar Reservas'!A434)</f>
        <v/>
      </c>
      <c r="B442" s="78">
        <f>IF($A442="","",'Importar Reservas'!B434)</f>
        <v/>
      </c>
      <c r="C442" s="78">
        <f>IF($A442="","",'Importar Reservas'!Z434)</f>
        <v/>
      </c>
      <c r="D442" s="78">
        <f>IF($A442="","",IF('Importar Reservas'!O434="",0,'Importar Reservas'!O434))</f>
        <v/>
      </c>
      <c r="E442" s="78">
        <f>IF($A442="","",IF('Importar Reservas'!N434="",0,'Importar Reservas'!N434))</f>
        <v/>
      </c>
      <c r="F442" s="78">
        <f>IF($A442="","",IFERROR(INDEX(Configurações!$C$5:$C$100,MATCH($C442,Configurações!$A$5:$A$100,0)),"Margem"))</f>
        <v/>
      </c>
      <c r="G442" s="78">
        <f>IF($A442="","",IFERROR(INDEX(Configurações!$B$5:$B$100,MATCH($C442,Configurações!$A$5:$A$100,0)),0))</f>
        <v/>
      </c>
      <c r="H442" s="78">
        <f>IF(OR($A442="",'Importar Reservas'!M434&lt;&gt;"Aprovado",$D442&lt;=0),"",MAX(0,IF($F442="Margem",$D442-$E442,$D442))*$G442)</f>
        <v/>
      </c>
    </row>
    <row r="443" ht="15" customHeight="1" s="79">
      <c r="A443" s="78">
        <f>IF('Importar Reservas'!A435="","",'Importar Reservas'!A435)</f>
        <v/>
      </c>
      <c r="B443" s="78">
        <f>IF($A443="","",'Importar Reservas'!B435)</f>
        <v/>
      </c>
      <c r="C443" s="78">
        <f>IF($A443="","",'Importar Reservas'!Z435)</f>
        <v/>
      </c>
      <c r="D443" s="78">
        <f>IF($A443="","",IF('Importar Reservas'!O435="",0,'Importar Reservas'!O435))</f>
        <v/>
      </c>
      <c r="E443" s="78">
        <f>IF($A443="","",IF('Importar Reservas'!N435="",0,'Importar Reservas'!N435))</f>
        <v/>
      </c>
      <c r="F443" s="78">
        <f>IF($A443="","",IFERROR(INDEX(Configurações!$C$5:$C$100,MATCH($C443,Configurações!$A$5:$A$100,0)),"Margem"))</f>
        <v/>
      </c>
      <c r="G443" s="78">
        <f>IF($A443="","",IFERROR(INDEX(Configurações!$B$5:$B$100,MATCH($C443,Configurações!$A$5:$A$100,0)),0))</f>
        <v/>
      </c>
      <c r="H443" s="78">
        <f>IF(OR($A443="",'Importar Reservas'!M435&lt;&gt;"Aprovado",$D443&lt;=0),"",MAX(0,IF($F443="Margem",$D443-$E443,$D443))*$G443)</f>
        <v/>
      </c>
    </row>
    <row r="444" ht="15" customHeight="1" s="79">
      <c r="A444" s="78">
        <f>IF('Importar Reservas'!A436="","",'Importar Reservas'!A436)</f>
        <v/>
      </c>
      <c r="B444" s="78">
        <f>IF($A444="","",'Importar Reservas'!B436)</f>
        <v/>
      </c>
      <c r="C444" s="78">
        <f>IF($A444="","",'Importar Reservas'!Z436)</f>
        <v/>
      </c>
      <c r="D444" s="78">
        <f>IF($A444="","",IF('Importar Reservas'!O436="",0,'Importar Reservas'!O436))</f>
        <v/>
      </c>
      <c r="E444" s="78">
        <f>IF($A444="","",IF('Importar Reservas'!N436="",0,'Importar Reservas'!N436))</f>
        <v/>
      </c>
      <c r="F444" s="78">
        <f>IF($A444="","",IFERROR(INDEX(Configurações!$C$5:$C$100,MATCH($C444,Configurações!$A$5:$A$100,0)),"Margem"))</f>
        <v/>
      </c>
      <c r="G444" s="78">
        <f>IF($A444="","",IFERROR(INDEX(Configurações!$B$5:$B$100,MATCH($C444,Configurações!$A$5:$A$100,0)),0))</f>
        <v/>
      </c>
      <c r="H444" s="78">
        <f>IF(OR($A444="",'Importar Reservas'!M436&lt;&gt;"Aprovado",$D444&lt;=0),"",MAX(0,IF($F444="Margem",$D444-$E444,$D444))*$G444)</f>
        <v/>
      </c>
    </row>
    <row r="445" ht="15" customHeight="1" s="79">
      <c r="A445" s="78">
        <f>IF('Importar Reservas'!A437="","",'Importar Reservas'!A437)</f>
        <v/>
      </c>
      <c r="B445" s="78">
        <f>IF($A445="","",'Importar Reservas'!B437)</f>
        <v/>
      </c>
      <c r="C445" s="78">
        <f>IF($A445="","",'Importar Reservas'!Z437)</f>
        <v/>
      </c>
      <c r="D445" s="78">
        <f>IF($A445="","",IF('Importar Reservas'!O437="",0,'Importar Reservas'!O437))</f>
        <v/>
      </c>
      <c r="E445" s="78">
        <f>IF($A445="","",IF('Importar Reservas'!N437="",0,'Importar Reservas'!N437))</f>
        <v/>
      </c>
      <c r="F445" s="78">
        <f>IF($A445="","",IFERROR(INDEX(Configurações!$C$5:$C$100,MATCH($C445,Configurações!$A$5:$A$100,0)),"Margem"))</f>
        <v/>
      </c>
      <c r="G445" s="78">
        <f>IF($A445="","",IFERROR(INDEX(Configurações!$B$5:$B$100,MATCH($C445,Configurações!$A$5:$A$100,0)),0))</f>
        <v/>
      </c>
      <c r="H445" s="78">
        <f>IF(OR($A445="",'Importar Reservas'!M437&lt;&gt;"Aprovado",$D445&lt;=0),"",MAX(0,IF($F445="Margem",$D445-$E445,$D445))*$G445)</f>
        <v/>
      </c>
    </row>
    <row r="446" ht="15" customHeight="1" s="79">
      <c r="A446" s="78">
        <f>IF('Importar Reservas'!A438="","",'Importar Reservas'!A438)</f>
        <v/>
      </c>
      <c r="B446" s="78">
        <f>IF($A446="","",'Importar Reservas'!B438)</f>
        <v/>
      </c>
      <c r="C446" s="78">
        <f>IF($A446="","",'Importar Reservas'!Z438)</f>
        <v/>
      </c>
      <c r="D446" s="78">
        <f>IF($A446="","",IF('Importar Reservas'!O438="",0,'Importar Reservas'!O438))</f>
        <v/>
      </c>
      <c r="E446" s="78">
        <f>IF($A446="","",IF('Importar Reservas'!N438="",0,'Importar Reservas'!N438))</f>
        <v/>
      </c>
      <c r="F446" s="78">
        <f>IF($A446="","",IFERROR(INDEX(Configurações!$C$5:$C$100,MATCH($C446,Configurações!$A$5:$A$100,0)),"Margem"))</f>
        <v/>
      </c>
      <c r="G446" s="78">
        <f>IF($A446="","",IFERROR(INDEX(Configurações!$B$5:$B$100,MATCH($C446,Configurações!$A$5:$A$100,0)),0))</f>
        <v/>
      </c>
      <c r="H446" s="78">
        <f>IF(OR($A446="",'Importar Reservas'!M438&lt;&gt;"Aprovado",$D446&lt;=0),"",MAX(0,IF($F446="Margem",$D446-$E446,$D446))*$G446)</f>
        <v/>
      </c>
    </row>
    <row r="447" ht="15" customHeight="1" s="79">
      <c r="A447" s="78">
        <f>IF('Importar Reservas'!A439="","",'Importar Reservas'!A439)</f>
        <v/>
      </c>
      <c r="B447" s="78">
        <f>IF($A447="","",'Importar Reservas'!B439)</f>
        <v/>
      </c>
      <c r="C447" s="78">
        <f>IF($A447="","",'Importar Reservas'!Z439)</f>
        <v/>
      </c>
      <c r="D447" s="78">
        <f>IF($A447="","",IF('Importar Reservas'!O439="",0,'Importar Reservas'!O439))</f>
        <v/>
      </c>
      <c r="E447" s="78">
        <f>IF($A447="","",IF('Importar Reservas'!N439="",0,'Importar Reservas'!N439))</f>
        <v/>
      </c>
      <c r="F447" s="78">
        <f>IF($A447="","",IFERROR(INDEX(Configurações!$C$5:$C$100,MATCH($C447,Configurações!$A$5:$A$100,0)),"Margem"))</f>
        <v/>
      </c>
      <c r="G447" s="78">
        <f>IF($A447="","",IFERROR(INDEX(Configurações!$B$5:$B$100,MATCH($C447,Configurações!$A$5:$A$100,0)),0))</f>
        <v/>
      </c>
      <c r="H447" s="78">
        <f>IF(OR($A447="",'Importar Reservas'!M439&lt;&gt;"Aprovado",$D447&lt;=0),"",MAX(0,IF($F447="Margem",$D447-$E447,$D447))*$G447)</f>
        <v/>
      </c>
    </row>
    <row r="448" ht="15" customHeight="1" s="79">
      <c r="A448" s="78">
        <f>IF('Importar Reservas'!A440="","",'Importar Reservas'!A440)</f>
        <v/>
      </c>
      <c r="B448" s="78">
        <f>IF($A448="","",'Importar Reservas'!B440)</f>
        <v/>
      </c>
      <c r="C448" s="78">
        <f>IF($A448="","",'Importar Reservas'!Z440)</f>
        <v/>
      </c>
      <c r="D448" s="78">
        <f>IF($A448="","",IF('Importar Reservas'!O440="",0,'Importar Reservas'!O440))</f>
        <v/>
      </c>
      <c r="E448" s="78">
        <f>IF($A448="","",IF('Importar Reservas'!N440="",0,'Importar Reservas'!N440))</f>
        <v/>
      </c>
      <c r="F448" s="78">
        <f>IF($A448="","",IFERROR(INDEX(Configurações!$C$5:$C$100,MATCH($C448,Configurações!$A$5:$A$100,0)),"Margem"))</f>
        <v/>
      </c>
      <c r="G448" s="78">
        <f>IF($A448="","",IFERROR(INDEX(Configurações!$B$5:$B$100,MATCH($C448,Configurações!$A$5:$A$100,0)),0))</f>
        <v/>
      </c>
      <c r="H448" s="78">
        <f>IF(OR($A448="",'Importar Reservas'!M440&lt;&gt;"Aprovado",$D448&lt;=0),"",MAX(0,IF($F448="Margem",$D448-$E448,$D448))*$G448)</f>
        <v/>
      </c>
    </row>
    <row r="449" ht="15" customHeight="1" s="79">
      <c r="A449" s="78">
        <f>IF('Importar Reservas'!A441="","",'Importar Reservas'!A441)</f>
        <v/>
      </c>
      <c r="B449" s="78">
        <f>IF($A449="","",'Importar Reservas'!B441)</f>
        <v/>
      </c>
      <c r="C449" s="78">
        <f>IF($A449="","",'Importar Reservas'!Z441)</f>
        <v/>
      </c>
      <c r="D449" s="78">
        <f>IF($A449="","",IF('Importar Reservas'!O441="",0,'Importar Reservas'!O441))</f>
        <v/>
      </c>
      <c r="E449" s="78">
        <f>IF($A449="","",IF('Importar Reservas'!N441="",0,'Importar Reservas'!N441))</f>
        <v/>
      </c>
      <c r="F449" s="78">
        <f>IF($A449="","",IFERROR(INDEX(Configurações!$C$5:$C$100,MATCH($C449,Configurações!$A$5:$A$100,0)),"Margem"))</f>
        <v/>
      </c>
      <c r="G449" s="78">
        <f>IF($A449="","",IFERROR(INDEX(Configurações!$B$5:$B$100,MATCH($C449,Configurações!$A$5:$A$100,0)),0))</f>
        <v/>
      </c>
      <c r="H449" s="78">
        <f>IF(OR($A449="",'Importar Reservas'!M441&lt;&gt;"Aprovado",$D449&lt;=0),"",MAX(0,IF($F449="Margem",$D449-$E449,$D449))*$G449)</f>
        <v/>
      </c>
    </row>
    <row r="450" ht="15" customHeight="1" s="79">
      <c r="A450" s="78">
        <f>IF('Importar Reservas'!A442="","",'Importar Reservas'!A442)</f>
        <v/>
      </c>
      <c r="B450" s="78">
        <f>IF($A450="","",'Importar Reservas'!B442)</f>
        <v/>
      </c>
      <c r="C450" s="78">
        <f>IF($A450="","",'Importar Reservas'!Z442)</f>
        <v/>
      </c>
      <c r="D450" s="78">
        <f>IF($A450="","",IF('Importar Reservas'!O442="",0,'Importar Reservas'!O442))</f>
        <v/>
      </c>
      <c r="E450" s="78">
        <f>IF($A450="","",IF('Importar Reservas'!N442="",0,'Importar Reservas'!N442))</f>
        <v/>
      </c>
      <c r="F450" s="78">
        <f>IF($A450="","",IFERROR(INDEX(Configurações!$C$5:$C$100,MATCH($C450,Configurações!$A$5:$A$100,0)),"Margem"))</f>
        <v/>
      </c>
      <c r="G450" s="78">
        <f>IF($A450="","",IFERROR(INDEX(Configurações!$B$5:$B$100,MATCH($C450,Configurações!$A$5:$A$100,0)),0))</f>
        <v/>
      </c>
      <c r="H450" s="78">
        <f>IF(OR($A450="",'Importar Reservas'!M442&lt;&gt;"Aprovado",$D450&lt;=0),"",MAX(0,IF($F450="Margem",$D450-$E450,$D450))*$G450)</f>
        <v/>
      </c>
    </row>
    <row r="451" ht="15" customHeight="1" s="79">
      <c r="A451" s="78">
        <f>IF('Importar Reservas'!A443="","",'Importar Reservas'!A443)</f>
        <v/>
      </c>
      <c r="B451" s="78">
        <f>IF($A451="","",'Importar Reservas'!B443)</f>
        <v/>
      </c>
      <c r="C451" s="78">
        <f>IF($A451="","",'Importar Reservas'!Z443)</f>
        <v/>
      </c>
      <c r="D451" s="78">
        <f>IF($A451="","",IF('Importar Reservas'!O443="",0,'Importar Reservas'!O443))</f>
        <v/>
      </c>
      <c r="E451" s="78">
        <f>IF($A451="","",IF('Importar Reservas'!N443="",0,'Importar Reservas'!N443))</f>
        <v/>
      </c>
      <c r="F451" s="78">
        <f>IF($A451="","",IFERROR(INDEX(Configurações!$C$5:$C$100,MATCH($C451,Configurações!$A$5:$A$100,0)),"Margem"))</f>
        <v/>
      </c>
      <c r="G451" s="78">
        <f>IF($A451="","",IFERROR(INDEX(Configurações!$B$5:$B$100,MATCH($C451,Configurações!$A$5:$A$100,0)),0))</f>
        <v/>
      </c>
      <c r="H451" s="78">
        <f>IF(OR($A451="",'Importar Reservas'!M443&lt;&gt;"Aprovado",$D451&lt;=0),"",MAX(0,IF($F451="Margem",$D451-$E451,$D451))*$G451)</f>
        <v/>
      </c>
    </row>
    <row r="452" ht="15" customHeight="1" s="79">
      <c r="A452" s="78">
        <f>IF('Importar Reservas'!A444="","",'Importar Reservas'!A444)</f>
        <v/>
      </c>
      <c r="B452" s="78">
        <f>IF($A452="","",'Importar Reservas'!B444)</f>
        <v/>
      </c>
      <c r="C452" s="78">
        <f>IF($A452="","",'Importar Reservas'!Z444)</f>
        <v/>
      </c>
      <c r="D452" s="78">
        <f>IF($A452="","",IF('Importar Reservas'!O444="",0,'Importar Reservas'!O444))</f>
        <v/>
      </c>
      <c r="E452" s="78">
        <f>IF($A452="","",IF('Importar Reservas'!N444="",0,'Importar Reservas'!N444))</f>
        <v/>
      </c>
      <c r="F452" s="78">
        <f>IF($A452="","",IFERROR(INDEX(Configurações!$C$5:$C$100,MATCH($C452,Configurações!$A$5:$A$100,0)),"Margem"))</f>
        <v/>
      </c>
      <c r="G452" s="78">
        <f>IF($A452="","",IFERROR(INDEX(Configurações!$B$5:$B$100,MATCH($C452,Configurações!$A$5:$A$100,0)),0))</f>
        <v/>
      </c>
      <c r="H452" s="78">
        <f>IF(OR($A452="",'Importar Reservas'!M444&lt;&gt;"Aprovado",$D452&lt;=0),"",MAX(0,IF($F452="Margem",$D452-$E452,$D452))*$G452)</f>
        <v/>
      </c>
    </row>
    <row r="453" ht="15" customHeight="1" s="79">
      <c r="A453" s="78">
        <f>IF('Importar Reservas'!A445="","",'Importar Reservas'!A445)</f>
        <v/>
      </c>
      <c r="B453" s="78">
        <f>IF($A453="","",'Importar Reservas'!B445)</f>
        <v/>
      </c>
      <c r="C453" s="78">
        <f>IF($A453="","",'Importar Reservas'!Z445)</f>
        <v/>
      </c>
      <c r="D453" s="78">
        <f>IF($A453="","",IF('Importar Reservas'!O445="",0,'Importar Reservas'!O445))</f>
        <v/>
      </c>
      <c r="E453" s="78">
        <f>IF($A453="","",IF('Importar Reservas'!N445="",0,'Importar Reservas'!N445))</f>
        <v/>
      </c>
      <c r="F453" s="78">
        <f>IF($A453="","",IFERROR(INDEX(Configurações!$C$5:$C$100,MATCH($C453,Configurações!$A$5:$A$100,0)),"Margem"))</f>
        <v/>
      </c>
      <c r="G453" s="78">
        <f>IF($A453="","",IFERROR(INDEX(Configurações!$B$5:$B$100,MATCH($C453,Configurações!$A$5:$A$100,0)),0))</f>
        <v/>
      </c>
      <c r="H453" s="78">
        <f>IF(OR($A453="",'Importar Reservas'!M445&lt;&gt;"Aprovado",$D453&lt;=0),"",MAX(0,IF($F453="Margem",$D453-$E453,$D453))*$G453)</f>
        <v/>
      </c>
    </row>
    <row r="454" ht="15" customHeight="1" s="79">
      <c r="A454" s="78">
        <f>IF('Importar Reservas'!A446="","",'Importar Reservas'!A446)</f>
        <v/>
      </c>
      <c r="B454" s="78">
        <f>IF($A454="","",'Importar Reservas'!B446)</f>
        <v/>
      </c>
      <c r="C454" s="78">
        <f>IF($A454="","",'Importar Reservas'!Z446)</f>
        <v/>
      </c>
      <c r="D454" s="78">
        <f>IF($A454="","",IF('Importar Reservas'!O446="",0,'Importar Reservas'!O446))</f>
        <v/>
      </c>
      <c r="E454" s="78">
        <f>IF($A454="","",IF('Importar Reservas'!N446="",0,'Importar Reservas'!N446))</f>
        <v/>
      </c>
      <c r="F454" s="78">
        <f>IF($A454="","",IFERROR(INDEX(Configurações!$C$5:$C$100,MATCH($C454,Configurações!$A$5:$A$100,0)),"Margem"))</f>
        <v/>
      </c>
      <c r="G454" s="78">
        <f>IF($A454="","",IFERROR(INDEX(Configurações!$B$5:$B$100,MATCH($C454,Configurações!$A$5:$A$100,0)),0))</f>
        <v/>
      </c>
      <c r="H454" s="78">
        <f>IF(OR($A454="",'Importar Reservas'!M446&lt;&gt;"Aprovado",$D454&lt;=0),"",MAX(0,IF($F454="Margem",$D454-$E454,$D454))*$G454)</f>
        <v/>
      </c>
    </row>
    <row r="455" ht="15" customHeight="1" s="79">
      <c r="A455" s="78">
        <f>IF('Importar Reservas'!A447="","",'Importar Reservas'!A447)</f>
        <v/>
      </c>
      <c r="B455" s="78">
        <f>IF($A455="","",'Importar Reservas'!B447)</f>
        <v/>
      </c>
      <c r="C455" s="78">
        <f>IF($A455="","",'Importar Reservas'!Z447)</f>
        <v/>
      </c>
      <c r="D455" s="78">
        <f>IF($A455="","",IF('Importar Reservas'!O447="",0,'Importar Reservas'!O447))</f>
        <v/>
      </c>
      <c r="E455" s="78">
        <f>IF($A455="","",IF('Importar Reservas'!N447="",0,'Importar Reservas'!N447))</f>
        <v/>
      </c>
      <c r="F455" s="78">
        <f>IF($A455="","",IFERROR(INDEX(Configurações!$C$5:$C$100,MATCH($C455,Configurações!$A$5:$A$100,0)),"Margem"))</f>
        <v/>
      </c>
      <c r="G455" s="78">
        <f>IF($A455="","",IFERROR(INDEX(Configurações!$B$5:$B$100,MATCH($C455,Configurações!$A$5:$A$100,0)),0))</f>
        <v/>
      </c>
      <c r="H455" s="78">
        <f>IF(OR($A455="",'Importar Reservas'!M447&lt;&gt;"Aprovado",$D455&lt;=0),"",MAX(0,IF($F455="Margem",$D455-$E455,$D455))*$G455)</f>
        <v/>
      </c>
    </row>
    <row r="456" ht="15" customHeight="1" s="79">
      <c r="A456" s="78">
        <f>IF('Importar Reservas'!A448="","",'Importar Reservas'!A448)</f>
        <v/>
      </c>
      <c r="B456" s="78">
        <f>IF($A456="","",'Importar Reservas'!B448)</f>
        <v/>
      </c>
      <c r="C456" s="78">
        <f>IF($A456="","",'Importar Reservas'!Z448)</f>
        <v/>
      </c>
      <c r="D456" s="78">
        <f>IF($A456="","",IF('Importar Reservas'!O448="",0,'Importar Reservas'!O448))</f>
        <v/>
      </c>
      <c r="E456" s="78">
        <f>IF($A456="","",IF('Importar Reservas'!N448="",0,'Importar Reservas'!N448))</f>
        <v/>
      </c>
      <c r="F456" s="78">
        <f>IF($A456="","",IFERROR(INDEX(Configurações!$C$5:$C$100,MATCH($C456,Configurações!$A$5:$A$100,0)),"Margem"))</f>
        <v/>
      </c>
      <c r="G456" s="78">
        <f>IF($A456="","",IFERROR(INDEX(Configurações!$B$5:$B$100,MATCH($C456,Configurações!$A$5:$A$100,0)),0))</f>
        <v/>
      </c>
      <c r="H456" s="78">
        <f>IF(OR($A456="",'Importar Reservas'!M448&lt;&gt;"Aprovado",$D456&lt;=0),"",MAX(0,IF($F456="Margem",$D456-$E456,$D456))*$G456)</f>
        <v/>
      </c>
    </row>
    <row r="457" ht="15" customHeight="1" s="79">
      <c r="A457" s="78">
        <f>IF('Importar Reservas'!A449="","",'Importar Reservas'!A449)</f>
        <v/>
      </c>
      <c r="B457" s="78">
        <f>IF($A457="","",'Importar Reservas'!B449)</f>
        <v/>
      </c>
      <c r="C457" s="78">
        <f>IF($A457="","",'Importar Reservas'!Z449)</f>
        <v/>
      </c>
      <c r="D457" s="78">
        <f>IF($A457="","",IF('Importar Reservas'!O449="",0,'Importar Reservas'!O449))</f>
        <v/>
      </c>
      <c r="E457" s="78">
        <f>IF($A457="","",IF('Importar Reservas'!N449="",0,'Importar Reservas'!N449))</f>
        <v/>
      </c>
      <c r="F457" s="78">
        <f>IF($A457="","",IFERROR(INDEX(Configurações!$C$5:$C$100,MATCH($C457,Configurações!$A$5:$A$100,0)),"Margem"))</f>
        <v/>
      </c>
      <c r="G457" s="78">
        <f>IF($A457="","",IFERROR(INDEX(Configurações!$B$5:$B$100,MATCH($C457,Configurações!$A$5:$A$100,0)),0))</f>
        <v/>
      </c>
      <c r="H457" s="78">
        <f>IF(OR($A457="",'Importar Reservas'!M449&lt;&gt;"Aprovado",$D457&lt;=0),"",MAX(0,IF($F457="Margem",$D457-$E457,$D457))*$G457)</f>
        <v/>
      </c>
    </row>
    <row r="458" ht="15" customHeight="1" s="79">
      <c r="A458" s="78">
        <f>IF('Importar Reservas'!A450="","",'Importar Reservas'!A450)</f>
        <v/>
      </c>
      <c r="B458" s="78">
        <f>IF($A458="","",'Importar Reservas'!B450)</f>
        <v/>
      </c>
      <c r="C458" s="78">
        <f>IF($A458="","",'Importar Reservas'!Z450)</f>
        <v/>
      </c>
      <c r="D458" s="78">
        <f>IF($A458="","",IF('Importar Reservas'!O450="",0,'Importar Reservas'!O450))</f>
        <v/>
      </c>
      <c r="E458" s="78">
        <f>IF($A458="","",IF('Importar Reservas'!N450="",0,'Importar Reservas'!N450))</f>
        <v/>
      </c>
      <c r="F458" s="78">
        <f>IF($A458="","",IFERROR(INDEX(Configurações!$C$5:$C$100,MATCH($C458,Configurações!$A$5:$A$100,0)),"Margem"))</f>
        <v/>
      </c>
      <c r="G458" s="78">
        <f>IF($A458="","",IFERROR(INDEX(Configurações!$B$5:$B$100,MATCH($C458,Configurações!$A$5:$A$100,0)),0))</f>
        <v/>
      </c>
      <c r="H458" s="78">
        <f>IF(OR($A458="",'Importar Reservas'!M450&lt;&gt;"Aprovado",$D458&lt;=0),"",MAX(0,IF($F458="Margem",$D458-$E458,$D458))*$G458)</f>
        <v/>
      </c>
    </row>
    <row r="459" ht="15" customHeight="1" s="79">
      <c r="A459" s="78">
        <f>IF('Importar Reservas'!A451="","",'Importar Reservas'!A451)</f>
        <v/>
      </c>
      <c r="B459" s="78">
        <f>IF($A459="","",'Importar Reservas'!B451)</f>
        <v/>
      </c>
      <c r="C459" s="78">
        <f>IF($A459="","",'Importar Reservas'!Z451)</f>
        <v/>
      </c>
      <c r="D459" s="78">
        <f>IF($A459="","",IF('Importar Reservas'!O451="",0,'Importar Reservas'!O451))</f>
        <v/>
      </c>
      <c r="E459" s="78">
        <f>IF($A459="","",IF('Importar Reservas'!N451="",0,'Importar Reservas'!N451))</f>
        <v/>
      </c>
      <c r="F459" s="78">
        <f>IF($A459="","",IFERROR(INDEX(Configurações!$C$5:$C$100,MATCH($C459,Configurações!$A$5:$A$100,0)),"Margem"))</f>
        <v/>
      </c>
      <c r="G459" s="78">
        <f>IF($A459="","",IFERROR(INDEX(Configurações!$B$5:$B$100,MATCH($C459,Configurações!$A$5:$A$100,0)),0))</f>
        <v/>
      </c>
      <c r="H459" s="78">
        <f>IF(OR($A459="",'Importar Reservas'!M451&lt;&gt;"Aprovado",$D459&lt;=0),"",MAX(0,IF($F459="Margem",$D459-$E459,$D459))*$G459)</f>
        <v/>
      </c>
    </row>
    <row r="460" ht="15" customHeight="1" s="79">
      <c r="A460" s="78">
        <f>IF('Importar Reservas'!A452="","",'Importar Reservas'!A452)</f>
        <v/>
      </c>
      <c r="B460" s="78">
        <f>IF($A460="","",'Importar Reservas'!B452)</f>
        <v/>
      </c>
      <c r="C460" s="78">
        <f>IF($A460="","",'Importar Reservas'!Z452)</f>
        <v/>
      </c>
      <c r="D460" s="78">
        <f>IF($A460="","",IF('Importar Reservas'!O452="",0,'Importar Reservas'!O452))</f>
        <v/>
      </c>
      <c r="E460" s="78">
        <f>IF($A460="","",IF('Importar Reservas'!N452="",0,'Importar Reservas'!N452))</f>
        <v/>
      </c>
      <c r="F460" s="78">
        <f>IF($A460="","",IFERROR(INDEX(Configurações!$C$5:$C$100,MATCH($C460,Configurações!$A$5:$A$100,0)),"Margem"))</f>
        <v/>
      </c>
      <c r="G460" s="78">
        <f>IF($A460="","",IFERROR(INDEX(Configurações!$B$5:$B$100,MATCH($C460,Configurações!$A$5:$A$100,0)),0))</f>
        <v/>
      </c>
      <c r="H460" s="78">
        <f>IF(OR($A460="",'Importar Reservas'!M452&lt;&gt;"Aprovado",$D460&lt;=0),"",MAX(0,IF($F460="Margem",$D460-$E460,$D460))*$G460)</f>
        <v/>
      </c>
    </row>
    <row r="461" ht="15" customHeight="1" s="79">
      <c r="A461" s="78">
        <f>IF('Importar Reservas'!A453="","",'Importar Reservas'!A453)</f>
        <v/>
      </c>
      <c r="B461" s="78">
        <f>IF($A461="","",'Importar Reservas'!B453)</f>
        <v/>
      </c>
      <c r="C461" s="78">
        <f>IF($A461="","",'Importar Reservas'!Z453)</f>
        <v/>
      </c>
      <c r="D461" s="78">
        <f>IF($A461="","",IF('Importar Reservas'!O453="",0,'Importar Reservas'!O453))</f>
        <v/>
      </c>
      <c r="E461" s="78">
        <f>IF($A461="","",IF('Importar Reservas'!N453="",0,'Importar Reservas'!N453))</f>
        <v/>
      </c>
      <c r="F461" s="78">
        <f>IF($A461="","",IFERROR(INDEX(Configurações!$C$5:$C$100,MATCH($C461,Configurações!$A$5:$A$100,0)),"Margem"))</f>
        <v/>
      </c>
      <c r="G461" s="78">
        <f>IF($A461="","",IFERROR(INDEX(Configurações!$B$5:$B$100,MATCH($C461,Configurações!$A$5:$A$100,0)),0))</f>
        <v/>
      </c>
      <c r="H461" s="78">
        <f>IF(OR($A461="",'Importar Reservas'!M453&lt;&gt;"Aprovado",$D461&lt;=0),"",MAX(0,IF($F461="Margem",$D461-$E461,$D461))*$G461)</f>
        <v/>
      </c>
    </row>
    <row r="462" ht="15" customHeight="1" s="79">
      <c r="A462" s="78">
        <f>IF('Importar Reservas'!A454="","",'Importar Reservas'!A454)</f>
        <v/>
      </c>
      <c r="B462" s="78">
        <f>IF($A462="","",'Importar Reservas'!B454)</f>
        <v/>
      </c>
      <c r="C462" s="78">
        <f>IF($A462="","",'Importar Reservas'!Z454)</f>
        <v/>
      </c>
      <c r="D462" s="78">
        <f>IF($A462="","",IF('Importar Reservas'!O454="",0,'Importar Reservas'!O454))</f>
        <v/>
      </c>
      <c r="E462" s="78">
        <f>IF($A462="","",IF('Importar Reservas'!N454="",0,'Importar Reservas'!N454))</f>
        <v/>
      </c>
      <c r="F462" s="78">
        <f>IF($A462="","",IFERROR(INDEX(Configurações!$C$5:$C$100,MATCH($C462,Configurações!$A$5:$A$100,0)),"Margem"))</f>
        <v/>
      </c>
      <c r="G462" s="78">
        <f>IF($A462="","",IFERROR(INDEX(Configurações!$B$5:$B$100,MATCH($C462,Configurações!$A$5:$A$100,0)),0))</f>
        <v/>
      </c>
      <c r="H462" s="78">
        <f>IF(OR($A462="",'Importar Reservas'!M454&lt;&gt;"Aprovado",$D462&lt;=0),"",MAX(0,IF($F462="Margem",$D462-$E462,$D462))*$G462)</f>
        <v/>
      </c>
    </row>
    <row r="463" ht="15" customHeight="1" s="79">
      <c r="A463" s="78">
        <f>IF('Importar Reservas'!A455="","",'Importar Reservas'!A455)</f>
        <v/>
      </c>
      <c r="B463" s="78">
        <f>IF($A463="","",'Importar Reservas'!B455)</f>
        <v/>
      </c>
      <c r="C463" s="78">
        <f>IF($A463="","",'Importar Reservas'!Z455)</f>
        <v/>
      </c>
      <c r="D463" s="78">
        <f>IF($A463="","",IF('Importar Reservas'!O455="",0,'Importar Reservas'!O455))</f>
        <v/>
      </c>
      <c r="E463" s="78">
        <f>IF($A463="","",IF('Importar Reservas'!N455="",0,'Importar Reservas'!N455))</f>
        <v/>
      </c>
      <c r="F463" s="78">
        <f>IF($A463="","",IFERROR(INDEX(Configurações!$C$5:$C$100,MATCH($C463,Configurações!$A$5:$A$100,0)),"Margem"))</f>
        <v/>
      </c>
      <c r="G463" s="78">
        <f>IF($A463="","",IFERROR(INDEX(Configurações!$B$5:$B$100,MATCH($C463,Configurações!$A$5:$A$100,0)),0))</f>
        <v/>
      </c>
      <c r="H463" s="78">
        <f>IF(OR($A463="",'Importar Reservas'!M455&lt;&gt;"Aprovado",$D463&lt;=0),"",MAX(0,IF($F463="Margem",$D463-$E463,$D463))*$G463)</f>
        <v/>
      </c>
    </row>
    <row r="464" ht="15" customHeight="1" s="79">
      <c r="A464" s="78">
        <f>IF('Importar Reservas'!A456="","",'Importar Reservas'!A456)</f>
        <v/>
      </c>
      <c r="B464" s="78">
        <f>IF($A464="","",'Importar Reservas'!B456)</f>
        <v/>
      </c>
      <c r="C464" s="78">
        <f>IF($A464="","",'Importar Reservas'!Z456)</f>
        <v/>
      </c>
      <c r="D464" s="78">
        <f>IF($A464="","",IF('Importar Reservas'!O456="",0,'Importar Reservas'!O456))</f>
        <v/>
      </c>
      <c r="E464" s="78">
        <f>IF($A464="","",IF('Importar Reservas'!N456="",0,'Importar Reservas'!N456))</f>
        <v/>
      </c>
      <c r="F464" s="78">
        <f>IF($A464="","",IFERROR(INDEX(Configurações!$C$5:$C$100,MATCH($C464,Configurações!$A$5:$A$100,0)),"Margem"))</f>
        <v/>
      </c>
      <c r="G464" s="78">
        <f>IF($A464="","",IFERROR(INDEX(Configurações!$B$5:$B$100,MATCH($C464,Configurações!$A$5:$A$100,0)),0))</f>
        <v/>
      </c>
      <c r="H464" s="78">
        <f>IF(OR($A464="",'Importar Reservas'!M456&lt;&gt;"Aprovado",$D464&lt;=0),"",MAX(0,IF($F464="Margem",$D464-$E464,$D464))*$G464)</f>
        <v/>
      </c>
    </row>
    <row r="465" ht="15" customHeight="1" s="79">
      <c r="A465" s="78">
        <f>IF('Importar Reservas'!A457="","",'Importar Reservas'!A457)</f>
        <v/>
      </c>
      <c r="B465" s="78">
        <f>IF($A465="","",'Importar Reservas'!B457)</f>
        <v/>
      </c>
      <c r="C465" s="78">
        <f>IF($A465="","",'Importar Reservas'!Z457)</f>
        <v/>
      </c>
      <c r="D465" s="78">
        <f>IF($A465="","",IF('Importar Reservas'!O457="",0,'Importar Reservas'!O457))</f>
        <v/>
      </c>
      <c r="E465" s="78">
        <f>IF($A465="","",IF('Importar Reservas'!N457="",0,'Importar Reservas'!N457))</f>
        <v/>
      </c>
      <c r="F465" s="78">
        <f>IF($A465="","",IFERROR(INDEX(Configurações!$C$5:$C$100,MATCH($C465,Configurações!$A$5:$A$100,0)),"Margem"))</f>
        <v/>
      </c>
      <c r="G465" s="78">
        <f>IF($A465="","",IFERROR(INDEX(Configurações!$B$5:$B$100,MATCH($C465,Configurações!$A$5:$A$100,0)),0))</f>
        <v/>
      </c>
      <c r="H465" s="78">
        <f>IF(OR($A465="",'Importar Reservas'!M457&lt;&gt;"Aprovado",$D465&lt;=0),"",MAX(0,IF($F465="Margem",$D465-$E465,$D465))*$G465)</f>
        <v/>
      </c>
    </row>
    <row r="466" ht="15" customHeight="1" s="79">
      <c r="A466" s="78">
        <f>IF('Importar Reservas'!A458="","",'Importar Reservas'!A458)</f>
        <v/>
      </c>
      <c r="B466" s="78">
        <f>IF($A466="","",'Importar Reservas'!B458)</f>
        <v/>
      </c>
      <c r="C466" s="78">
        <f>IF($A466="","",'Importar Reservas'!Z458)</f>
        <v/>
      </c>
      <c r="D466" s="78">
        <f>IF($A466="","",IF('Importar Reservas'!O458="",0,'Importar Reservas'!O458))</f>
        <v/>
      </c>
      <c r="E466" s="78">
        <f>IF($A466="","",IF('Importar Reservas'!N458="",0,'Importar Reservas'!N458))</f>
        <v/>
      </c>
      <c r="F466" s="78">
        <f>IF($A466="","",IFERROR(INDEX(Configurações!$C$5:$C$100,MATCH($C466,Configurações!$A$5:$A$100,0)),"Margem"))</f>
        <v/>
      </c>
      <c r="G466" s="78">
        <f>IF($A466="","",IFERROR(INDEX(Configurações!$B$5:$B$100,MATCH($C466,Configurações!$A$5:$A$100,0)),0))</f>
        <v/>
      </c>
      <c r="H466" s="78">
        <f>IF(OR($A466="",'Importar Reservas'!M458&lt;&gt;"Aprovado",$D466&lt;=0),"",MAX(0,IF($F466="Margem",$D466-$E466,$D466))*$G466)</f>
        <v/>
      </c>
    </row>
    <row r="467" ht="15" customHeight="1" s="79">
      <c r="A467" s="78">
        <f>IF('Importar Reservas'!A459="","",'Importar Reservas'!A459)</f>
        <v/>
      </c>
      <c r="B467" s="78">
        <f>IF($A467="","",'Importar Reservas'!B459)</f>
        <v/>
      </c>
      <c r="C467" s="78">
        <f>IF($A467="","",'Importar Reservas'!Z459)</f>
        <v/>
      </c>
      <c r="D467" s="78">
        <f>IF($A467="","",IF('Importar Reservas'!O459="",0,'Importar Reservas'!O459))</f>
        <v/>
      </c>
      <c r="E467" s="78">
        <f>IF($A467="","",IF('Importar Reservas'!N459="",0,'Importar Reservas'!N459))</f>
        <v/>
      </c>
      <c r="F467" s="78">
        <f>IF($A467="","",IFERROR(INDEX(Configurações!$C$5:$C$100,MATCH($C467,Configurações!$A$5:$A$100,0)),"Margem"))</f>
        <v/>
      </c>
      <c r="G467" s="78">
        <f>IF($A467="","",IFERROR(INDEX(Configurações!$B$5:$B$100,MATCH($C467,Configurações!$A$5:$A$100,0)),0))</f>
        <v/>
      </c>
      <c r="H467" s="78">
        <f>IF(OR($A467="",'Importar Reservas'!M459&lt;&gt;"Aprovado",$D467&lt;=0),"",MAX(0,IF($F467="Margem",$D467-$E467,$D467))*$G467)</f>
        <v/>
      </c>
    </row>
    <row r="468" ht="15" customHeight="1" s="79">
      <c r="A468" s="78">
        <f>IF('Importar Reservas'!A460="","",'Importar Reservas'!A460)</f>
        <v/>
      </c>
      <c r="B468" s="78">
        <f>IF($A468="","",'Importar Reservas'!B460)</f>
        <v/>
      </c>
      <c r="C468" s="78">
        <f>IF($A468="","",'Importar Reservas'!Z460)</f>
        <v/>
      </c>
      <c r="D468" s="78">
        <f>IF($A468="","",IF('Importar Reservas'!O460="",0,'Importar Reservas'!O460))</f>
        <v/>
      </c>
      <c r="E468" s="78">
        <f>IF($A468="","",IF('Importar Reservas'!N460="",0,'Importar Reservas'!N460))</f>
        <v/>
      </c>
      <c r="F468" s="78">
        <f>IF($A468="","",IFERROR(INDEX(Configurações!$C$5:$C$100,MATCH($C468,Configurações!$A$5:$A$100,0)),"Margem"))</f>
        <v/>
      </c>
      <c r="G468" s="78">
        <f>IF($A468="","",IFERROR(INDEX(Configurações!$B$5:$B$100,MATCH($C468,Configurações!$A$5:$A$100,0)),0))</f>
        <v/>
      </c>
      <c r="H468" s="78">
        <f>IF(OR($A468="",'Importar Reservas'!M460&lt;&gt;"Aprovado",$D468&lt;=0),"",MAX(0,IF($F468="Margem",$D468-$E468,$D468))*$G468)</f>
        <v/>
      </c>
    </row>
    <row r="469" ht="15" customHeight="1" s="79">
      <c r="A469" s="78">
        <f>IF('Importar Reservas'!A461="","",'Importar Reservas'!A461)</f>
        <v/>
      </c>
      <c r="B469" s="78">
        <f>IF($A469="","",'Importar Reservas'!B461)</f>
        <v/>
      </c>
      <c r="C469" s="78">
        <f>IF($A469="","",'Importar Reservas'!Z461)</f>
        <v/>
      </c>
      <c r="D469" s="78">
        <f>IF($A469="","",IF('Importar Reservas'!O461="",0,'Importar Reservas'!O461))</f>
        <v/>
      </c>
      <c r="E469" s="78">
        <f>IF($A469="","",IF('Importar Reservas'!N461="",0,'Importar Reservas'!N461))</f>
        <v/>
      </c>
      <c r="F469" s="78">
        <f>IF($A469="","",IFERROR(INDEX(Configurações!$C$5:$C$100,MATCH($C469,Configurações!$A$5:$A$100,0)),"Margem"))</f>
        <v/>
      </c>
      <c r="G469" s="78">
        <f>IF($A469="","",IFERROR(INDEX(Configurações!$B$5:$B$100,MATCH($C469,Configurações!$A$5:$A$100,0)),0))</f>
        <v/>
      </c>
      <c r="H469" s="78">
        <f>IF(OR($A469="",'Importar Reservas'!M461&lt;&gt;"Aprovado",$D469&lt;=0),"",MAX(0,IF($F469="Margem",$D469-$E469,$D469))*$G469)</f>
        <v/>
      </c>
    </row>
    <row r="470" ht="15" customHeight="1" s="79">
      <c r="A470" s="78">
        <f>IF('Importar Reservas'!A462="","",'Importar Reservas'!A462)</f>
        <v/>
      </c>
      <c r="B470" s="78">
        <f>IF($A470="","",'Importar Reservas'!B462)</f>
        <v/>
      </c>
      <c r="C470" s="78">
        <f>IF($A470="","",'Importar Reservas'!Z462)</f>
        <v/>
      </c>
      <c r="D470" s="78">
        <f>IF($A470="","",IF('Importar Reservas'!O462="",0,'Importar Reservas'!O462))</f>
        <v/>
      </c>
      <c r="E470" s="78">
        <f>IF($A470="","",IF('Importar Reservas'!N462="",0,'Importar Reservas'!N462))</f>
        <v/>
      </c>
      <c r="F470" s="78">
        <f>IF($A470="","",IFERROR(INDEX(Configurações!$C$5:$C$100,MATCH($C470,Configurações!$A$5:$A$100,0)),"Margem"))</f>
        <v/>
      </c>
      <c r="G470" s="78">
        <f>IF($A470="","",IFERROR(INDEX(Configurações!$B$5:$B$100,MATCH($C470,Configurações!$A$5:$A$100,0)),0))</f>
        <v/>
      </c>
      <c r="H470" s="78">
        <f>IF(OR($A470="",'Importar Reservas'!M462&lt;&gt;"Aprovado",$D470&lt;=0),"",MAX(0,IF($F470="Margem",$D470-$E470,$D470))*$G470)</f>
        <v/>
      </c>
    </row>
    <row r="471" ht="15" customHeight="1" s="79">
      <c r="A471" s="78">
        <f>IF('Importar Reservas'!A463="","",'Importar Reservas'!A463)</f>
        <v/>
      </c>
      <c r="B471" s="78">
        <f>IF($A471="","",'Importar Reservas'!B463)</f>
        <v/>
      </c>
      <c r="C471" s="78">
        <f>IF($A471="","",'Importar Reservas'!Z463)</f>
        <v/>
      </c>
      <c r="D471" s="78">
        <f>IF($A471="","",IF('Importar Reservas'!O463="",0,'Importar Reservas'!O463))</f>
        <v/>
      </c>
      <c r="E471" s="78">
        <f>IF($A471="","",IF('Importar Reservas'!N463="",0,'Importar Reservas'!N463))</f>
        <v/>
      </c>
      <c r="F471" s="78">
        <f>IF($A471="","",IFERROR(INDEX(Configurações!$C$5:$C$100,MATCH($C471,Configurações!$A$5:$A$100,0)),"Margem"))</f>
        <v/>
      </c>
      <c r="G471" s="78">
        <f>IF($A471="","",IFERROR(INDEX(Configurações!$B$5:$B$100,MATCH($C471,Configurações!$A$5:$A$100,0)),0))</f>
        <v/>
      </c>
      <c r="H471" s="78">
        <f>IF(OR($A471="",'Importar Reservas'!M463&lt;&gt;"Aprovado",$D471&lt;=0),"",MAX(0,IF($F471="Margem",$D471-$E471,$D471))*$G471)</f>
        <v/>
      </c>
    </row>
    <row r="472" ht="15" customHeight="1" s="79">
      <c r="A472" s="78">
        <f>IF('Importar Reservas'!A464="","",'Importar Reservas'!A464)</f>
        <v/>
      </c>
      <c r="B472" s="78">
        <f>IF($A472="","",'Importar Reservas'!B464)</f>
        <v/>
      </c>
      <c r="C472" s="78">
        <f>IF($A472="","",'Importar Reservas'!Z464)</f>
        <v/>
      </c>
      <c r="D472" s="78">
        <f>IF($A472="","",IF('Importar Reservas'!O464="",0,'Importar Reservas'!O464))</f>
        <v/>
      </c>
      <c r="E472" s="78">
        <f>IF($A472="","",IF('Importar Reservas'!N464="",0,'Importar Reservas'!N464))</f>
        <v/>
      </c>
      <c r="F472" s="78">
        <f>IF($A472="","",IFERROR(INDEX(Configurações!$C$5:$C$100,MATCH($C472,Configurações!$A$5:$A$100,0)),"Margem"))</f>
        <v/>
      </c>
      <c r="G472" s="78">
        <f>IF($A472="","",IFERROR(INDEX(Configurações!$B$5:$B$100,MATCH($C472,Configurações!$A$5:$A$100,0)),0))</f>
        <v/>
      </c>
      <c r="H472" s="78">
        <f>IF(OR($A472="",'Importar Reservas'!M464&lt;&gt;"Aprovado",$D472&lt;=0),"",MAX(0,IF($F472="Margem",$D472-$E472,$D472))*$G472)</f>
        <v/>
      </c>
    </row>
    <row r="473" ht="15" customHeight="1" s="79">
      <c r="A473" s="78">
        <f>IF('Importar Reservas'!A465="","",'Importar Reservas'!A465)</f>
        <v/>
      </c>
      <c r="B473" s="78">
        <f>IF($A473="","",'Importar Reservas'!B465)</f>
        <v/>
      </c>
      <c r="C473" s="78">
        <f>IF($A473="","",'Importar Reservas'!Z465)</f>
        <v/>
      </c>
      <c r="D473" s="78">
        <f>IF($A473="","",IF('Importar Reservas'!O465="",0,'Importar Reservas'!O465))</f>
        <v/>
      </c>
      <c r="E473" s="78">
        <f>IF($A473="","",IF('Importar Reservas'!N465="",0,'Importar Reservas'!N465))</f>
        <v/>
      </c>
      <c r="F473" s="78">
        <f>IF($A473="","",IFERROR(INDEX(Configurações!$C$5:$C$100,MATCH($C473,Configurações!$A$5:$A$100,0)),"Margem"))</f>
        <v/>
      </c>
      <c r="G473" s="78">
        <f>IF($A473="","",IFERROR(INDEX(Configurações!$B$5:$B$100,MATCH($C473,Configurações!$A$5:$A$100,0)),0))</f>
        <v/>
      </c>
      <c r="H473" s="78">
        <f>IF(OR($A473="",'Importar Reservas'!M465&lt;&gt;"Aprovado",$D473&lt;=0),"",MAX(0,IF($F473="Margem",$D473-$E473,$D473))*$G473)</f>
        <v/>
      </c>
    </row>
    <row r="474" ht="15" customHeight="1" s="79">
      <c r="A474" s="78">
        <f>IF('Importar Reservas'!A466="","",'Importar Reservas'!A466)</f>
        <v/>
      </c>
      <c r="B474" s="78">
        <f>IF($A474="","",'Importar Reservas'!B466)</f>
        <v/>
      </c>
      <c r="C474" s="78">
        <f>IF($A474="","",'Importar Reservas'!Z466)</f>
        <v/>
      </c>
      <c r="D474" s="78">
        <f>IF($A474="","",IF('Importar Reservas'!O466="",0,'Importar Reservas'!O466))</f>
        <v/>
      </c>
      <c r="E474" s="78">
        <f>IF($A474="","",IF('Importar Reservas'!N466="",0,'Importar Reservas'!N466))</f>
        <v/>
      </c>
      <c r="F474" s="78">
        <f>IF($A474="","",IFERROR(INDEX(Configurações!$C$5:$C$100,MATCH($C474,Configurações!$A$5:$A$100,0)),"Margem"))</f>
        <v/>
      </c>
      <c r="G474" s="78">
        <f>IF($A474="","",IFERROR(INDEX(Configurações!$B$5:$B$100,MATCH($C474,Configurações!$A$5:$A$100,0)),0))</f>
        <v/>
      </c>
      <c r="H474" s="78">
        <f>IF(OR($A474="",'Importar Reservas'!M466&lt;&gt;"Aprovado",$D474&lt;=0),"",MAX(0,IF($F474="Margem",$D474-$E474,$D474))*$G474)</f>
        <v/>
      </c>
    </row>
    <row r="475" ht="15" customHeight="1" s="79">
      <c r="A475" s="78">
        <f>IF('Importar Reservas'!A467="","",'Importar Reservas'!A467)</f>
        <v/>
      </c>
      <c r="B475" s="78">
        <f>IF($A475="","",'Importar Reservas'!B467)</f>
        <v/>
      </c>
      <c r="C475" s="78">
        <f>IF($A475="","",'Importar Reservas'!Z467)</f>
        <v/>
      </c>
      <c r="D475" s="78">
        <f>IF($A475="","",IF('Importar Reservas'!O467="",0,'Importar Reservas'!O467))</f>
        <v/>
      </c>
      <c r="E475" s="78">
        <f>IF($A475="","",IF('Importar Reservas'!N467="",0,'Importar Reservas'!N467))</f>
        <v/>
      </c>
      <c r="F475" s="78">
        <f>IF($A475="","",IFERROR(INDEX(Configurações!$C$5:$C$100,MATCH($C475,Configurações!$A$5:$A$100,0)),"Margem"))</f>
        <v/>
      </c>
      <c r="G475" s="78">
        <f>IF($A475="","",IFERROR(INDEX(Configurações!$B$5:$B$100,MATCH($C475,Configurações!$A$5:$A$100,0)),0))</f>
        <v/>
      </c>
      <c r="H475" s="78">
        <f>IF(OR($A475="",'Importar Reservas'!M467&lt;&gt;"Aprovado",$D475&lt;=0),"",MAX(0,IF($F475="Margem",$D475-$E475,$D475))*$G475)</f>
        <v/>
      </c>
    </row>
    <row r="476" ht="15" customHeight="1" s="79">
      <c r="A476" s="78">
        <f>IF('Importar Reservas'!A468="","",'Importar Reservas'!A468)</f>
        <v/>
      </c>
      <c r="B476" s="78">
        <f>IF($A476="","",'Importar Reservas'!B468)</f>
        <v/>
      </c>
      <c r="C476" s="78">
        <f>IF($A476="","",'Importar Reservas'!Z468)</f>
        <v/>
      </c>
      <c r="D476" s="78">
        <f>IF($A476="","",IF('Importar Reservas'!O468="",0,'Importar Reservas'!O468))</f>
        <v/>
      </c>
      <c r="E476" s="78">
        <f>IF($A476="","",IF('Importar Reservas'!N468="",0,'Importar Reservas'!N468))</f>
        <v/>
      </c>
      <c r="F476" s="78">
        <f>IF($A476="","",IFERROR(INDEX(Configurações!$C$5:$C$100,MATCH($C476,Configurações!$A$5:$A$100,0)),"Margem"))</f>
        <v/>
      </c>
      <c r="G476" s="78">
        <f>IF($A476="","",IFERROR(INDEX(Configurações!$B$5:$B$100,MATCH($C476,Configurações!$A$5:$A$100,0)),0))</f>
        <v/>
      </c>
      <c r="H476" s="78">
        <f>IF(OR($A476="",'Importar Reservas'!M468&lt;&gt;"Aprovado",$D476&lt;=0),"",MAX(0,IF($F476="Margem",$D476-$E476,$D476))*$G476)</f>
        <v/>
      </c>
    </row>
    <row r="477" ht="15" customHeight="1" s="79">
      <c r="A477" s="78">
        <f>IF('Importar Reservas'!A469="","",'Importar Reservas'!A469)</f>
        <v/>
      </c>
      <c r="B477" s="78">
        <f>IF($A477="","",'Importar Reservas'!B469)</f>
        <v/>
      </c>
      <c r="C477" s="78">
        <f>IF($A477="","",'Importar Reservas'!Z469)</f>
        <v/>
      </c>
      <c r="D477" s="78">
        <f>IF($A477="","",IF('Importar Reservas'!O469="",0,'Importar Reservas'!O469))</f>
        <v/>
      </c>
      <c r="E477" s="78">
        <f>IF($A477="","",IF('Importar Reservas'!N469="",0,'Importar Reservas'!N469))</f>
        <v/>
      </c>
      <c r="F477" s="78">
        <f>IF($A477="","",IFERROR(INDEX(Configurações!$C$5:$C$100,MATCH($C477,Configurações!$A$5:$A$100,0)),"Margem"))</f>
        <v/>
      </c>
      <c r="G477" s="78">
        <f>IF($A477="","",IFERROR(INDEX(Configurações!$B$5:$B$100,MATCH($C477,Configurações!$A$5:$A$100,0)),0))</f>
        <v/>
      </c>
      <c r="H477" s="78">
        <f>IF(OR($A477="",'Importar Reservas'!M469&lt;&gt;"Aprovado",$D477&lt;=0),"",MAX(0,IF($F477="Margem",$D477-$E477,$D477))*$G477)</f>
        <v/>
      </c>
    </row>
    <row r="478" ht="15" customHeight="1" s="79">
      <c r="A478" s="78">
        <f>IF('Importar Reservas'!A470="","",'Importar Reservas'!A470)</f>
        <v/>
      </c>
      <c r="B478" s="78">
        <f>IF($A478="","",'Importar Reservas'!B470)</f>
        <v/>
      </c>
      <c r="C478" s="78">
        <f>IF($A478="","",'Importar Reservas'!Z470)</f>
        <v/>
      </c>
      <c r="D478" s="78">
        <f>IF($A478="","",IF('Importar Reservas'!O470="",0,'Importar Reservas'!O470))</f>
        <v/>
      </c>
      <c r="E478" s="78">
        <f>IF($A478="","",IF('Importar Reservas'!N470="",0,'Importar Reservas'!N470))</f>
        <v/>
      </c>
      <c r="F478" s="78">
        <f>IF($A478="","",IFERROR(INDEX(Configurações!$C$5:$C$100,MATCH($C478,Configurações!$A$5:$A$100,0)),"Margem"))</f>
        <v/>
      </c>
      <c r="G478" s="78">
        <f>IF($A478="","",IFERROR(INDEX(Configurações!$B$5:$B$100,MATCH($C478,Configurações!$A$5:$A$100,0)),0))</f>
        <v/>
      </c>
      <c r="H478" s="78">
        <f>IF(OR($A478="",'Importar Reservas'!M470&lt;&gt;"Aprovado",$D478&lt;=0),"",MAX(0,IF($F478="Margem",$D478-$E478,$D478))*$G478)</f>
        <v/>
      </c>
    </row>
    <row r="479" ht="15" customHeight="1" s="79">
      <c r="A479" s="78">
        <f>IF('Importar Reservas'!A471="","",'Importar Reservas'!A471)</f>
        <v/>
      </c>
      <c r="B479" s="78">
        <f>IF($A479="","",'Importar Reservas'!B471)</f>
        <v/>
      </c>
      <c r="C479" s="78">
        <f>IF($A479="","",'Importar Reservas'!Z471)</f>
        <v/>
      </c>
      <c r="D479" s="78">
        <f>IF($A479="","",IF('Importar Reservas'!O471="",0,'Importar Reservas'!O471))</f>
        <v/>
      </c>
      <c r="E479" s="78">
        <f>IF($A479="","",IF('Importar Reservas'!N471="",0,'Importar Reservas'!N471))</f>
        <v/>
      </c>
      <c r="F479" s="78">
        <f>IF($A479="","",IFERROR(INDEX(Configurações!$C$5:$C$100,MATCH($C479,Configurações!$A$5:$A$100,0)),"Margem"))</f>
        <v/>
      </c>
      <c r="G479" s="78">
        <f>IF($A479="","",IFERROR(INDEX(Configurações!$B$5:$B$100,MATCH($C479,Configurações!$A$5:$A$100,0)),0))</f>
        <v/>
      </c>
      <c r="H479" s="78">
        <f>IF(OR($A479="",'Importar Reservas'!M471&lt;&gt;"Aprovado",$D479&lt;=0),"",MAX(0,IF($F479="Margem",$D479-$E479,$D479))*$G479)</f>
        <v/>
      </c>
    </row>
    <row r="480" ht="15" customHeight="1" s="79">
      <c r="A480" s="78">
        <f>IF('Importar Reservas'!A472="","",'Importar Reservas'!A472)</f>
        <v/>
      </c>
      <c r="B480" s="78">
        <f>IF($A480="","",'Importar Reservas'!B472)</f>
        <v/>
      </c>
      <c r="C480" s="78">
        <f>IF($A480="","",'Importar Reservas'!Z472)</f>
        <v/>
      </c>
      <c r="D480" s="78">
        <f>IF($A480="","",IF('Importar Reservas'!O472="",0,'Importar Reservas'!O472))</f>
        <v/>
      </c>
      <c r="E480" s="78">
        <f>IF($A480="","",IF('Importar Reservas'!N472="",0,'Importar Reservas'!N472))</f>
        <v/>
      </c>
      <c r="F480" s="78">
        <f>IF($A480="","",IFERROR(INDEX(Configurações!$C$5:$C$100,MATCH($C480,Configurações!$A$5:$A$100,0)),"Margem"))</f>
        <v/>
      </c>
      <c r="G480" s="78">
        <f>IF($A480="","",IFERROR(INDEX(Configurações!$B$5:$B$100,MATCH($C480,Configurações!$A$5:$A$100,0)),0))</f>
        <v/>
      </c>
      <c r="H480" s="78">
        <f>IF(OR($A480="",'Importar Reservas'!M472&lt;&gt;"Aprovado",$D480&lt;=0),"",MAX(0,IF($F480="Margem",$D480-$E480,$D480))*$G480)</f>
        <v/>
      </c>
    </row>
    <row r="481" ht="15" customHeight="1" s="79">
      <c r="A481" s="78">
        <f>IF('Importar Reservas'!A473="","",'Importar Reservas'!A473)</f>
        <v/>
      </c>
      <c r="B481" s="78">
        <f>IF($A481="","",'Importar Reservas'!B473)</f>
        <v/>
      </c>
      <c r="C481" s="78">
        <f>IF($A481="","",'Importar Reservas'!Z473)</f>
        <v/>
      </c>
      <c r="D481" s="78">
        <f>IF($A481="","",IF('Importar Reservas'!O473="",0,'Importar Reservas'!O473))</f>
        <v/>
      </c>
      <c r="E481" s="78">
        <f>IF($A481="","",IF('Importar Reservas'!N473="",0,'Importar Reservas'!N473))</f>
        <v/>
      </c>
      <c r="F481" s="78">
        <f>IF($A481="","",IFERROR(INDEX(Configurações!$C$5:$C$100,MATCH($C481,Configurações!$A$5:$A$100,0)),"Margem"))</f>
        <v/>
      </c>
      <c r="G481" s="78">
        <f>IF($A481="","",IFERROR(INDEX(Configurações!$B$5:$B$100,MATCH($C481,Configurações!$A$5:$A$100,0)),0))</f>
        <v/>
      </c>
      <c r="H481" s="78">
        <f>IF(OR($A481="",'Importar Reservas'!M473&lt;&gt;"Aprovado",$D481&lt;=0),"",MAX(0,IF($F481="Margem",$D481-$E481,$D481))*$G481)</f>
        <v/>
      </c>
    </row>
    <row r="482" ht="15" customHeight="1" s="79">
      <c r="A482" s="78">
        <f>IF('Importar Reservas'!A474="","",'Importar Reservas'!A474)</f>
        <v/>
      </c>
      <c r="B482" s="78">
        <f>IF($A482="","",'Importar Reservas'!B474)</f>
        <v/>
      </c>
      <c r="C482" s="78">
        <f>IF($A482="","",'Importar Reservas'!Z474)</f>
        <v/>
      </c>
      <c r="D482" s="78">
        <f>IF($A482="","",IF('Importar Reservas'!O474="",0,'Importar Reservas'!O474))</f>
        <v/>
      </c>
      <c r="E482" s="78">
        <f>IF($A482="","",IF('Importar Reservas'!N474="",0,'Importar Reservas'!N474))</f>
        <v/>
      </c>
      <c r="F482" s="78">
        <f>IF($A482="","",IFERROR(INDEX(Configurações!$C$5:$C$100,MATCH($C482,Configurações!$A$5:$A$100,0)),"Margem"))</f>
        <v/>
      </c>
      <c r="G482" s="78">
        <f>IF($A482="","",IFERROR(INDEX(Configurações!$B$5:$B$100,MATCH($C482,Configurações!$A$5:$A$100,0)),0))</f>
        <v/>
      </c>
      <c r="H482" s="78">
        <f>IF(OR($A482="",'Importar Reservas'!M474&lt;&gt;"Aprovado",$D482&lt;=0),"",MAX(0,IF($F482="Margem",$D482-$E482,$D482))*$G482)</f>
        <v/>
      </c>
    </row>
    <row r="483" ht="15" customHeight="1" s="79">
      <c r="A483" s="78">
        <f>IF('Importar Reservas'!A475="","",'Importar Reservas'!A475)</f>
        <v/>
      </c>
      <c r="B483" s="78">
        <f>IF($A483="","",'Importar Reservas'!B475)</f>
        <v/>
      </c>
      <c r="C483" s="78">
        <f>IF($A483="","",'Importar Reservas'!Z475)</f>
        <v/>
      </c>
      <c r="D483" s="78">
        <f>IF($A483="","",IF('Importar Reservas'!O475="",0,'Importar Reservas'!O475))</f>
        <v/>
      </c>
      <c r="E483" s="78">
        <f>IF($A483="","",IF('Importar Reservas'!N475="",0,'Importar Reservas'!N475))</f>
        <v/>
      </c>
      <c r="F483" s="78">
        <f>IF($A483="","",IFERROR(INDEX(Configurações!$C$5:$C$100,MATCH($C483,Configurações!$A$5:$A$100,0)),"Margem"))</f>
        <v/>
      </c>
      <c r="G483" s="78">
        <f>IF($A483="","",IFERROR(INDEX(Configurações!$B$5:$B$100,MATCH($C483,Configurações!$A$5:$A$100,0)),0))</f>
        <v/>
      </c>
      <c r="H483" s="78">
        <f>IF(OR($A483="",'Importar Reservas'!M475&lt;&gt;"Aprovado",$D483&lt;=0),"",MAX(0,IF($F483="Margem",$D483-$E483,$D483))*$G483)</f>
        <v/>
      </c>
    </row>
    <row r="484" ht="15" customHeight="1" s="79">
      <c r="A484" s="78">
        <f>IF('Importar Reservas'!A476="","",'Importar Reservas'!A476)</f>
        <v/>
      </c>
      <c r="B484" s="78">
        <f>IF($A484="","",'Importar Reservas'!B476)</f>
        <v/>
      </c>
      <c r="C484" s="78">
        <f>IF($A484="","",'Importar Reservas'!Z476)</f>
        <v/>
      </c>
      <c r="D484" s="78">
        <f>IF($A484="","",IF('Importar Reservas'!O476="",0,'Importar Reservas'!O476))</f>
        <v/>
      </c>
      <c r="E484" s="78">
        <f>IF($A484="","",IF('Importar Reservas'!N476="",0,'Importar Reservas'!N476))</f>
        <v/>
      </c>
      <c r="F484" s="78">
        <f>IF($A484="","",IFERROR(INDEX(Configurações!$C$5:$C$100,MATCH($C484,Configurações!$A$5:$A$100,0)),"Margem"))</f>
        <v/>
      </c>
      <c r="G484" s="78">
        <f>IF($A484="","",IFERROR(INDEX(Configurações!$B$5:$B$100,MATCH($C484,Configurações!$A$5:$A$100,0)),0))</f>
        <v/>
      </c>
      <c r="H484" s="78">
        <f>IF(OR($A484="",'Importar Reservas'!M476&lt;&gt;"Aprovado",$D484&lt;=0),"",MAX(0,IF($F484="Margem",$D484-$E484,$D484))*$G484)</f>
        <v/>
      </c>
    </row>
    <row r="485" ht="15" customHeight="1" s="79">
      <c r="A485" s="78">
        <f>IF('Importar Reservas'!A477="","",'Importar Reservas'!A477)</f>
        <v/>
      </c>
      <c r="B485" s="78">
        <f>IF($A485="","",'Importar Reservas'!B477)</f>
        <v/>
      </c>
      <c r="C485" s="78">
        <f>IF($A485="","",'Importar Reservas'!Z477)</f>
        <v/>
      </c>
      <c r="D485" s="78">
        <f>IF($A485="","",IF('Importar Reservas'!O477="",0,'Importar Reservas'!O477))</f>
        <v/>
      </c>
      <c r="E485" s="78">
        <f>IF($A485="","",IF('Importar Reservas'!N477="",0,'Importar Reservas'!N477))</f>
        <v/>
      </c>
      <c r="F485" s="78">
        <f>IF($A485="","",IFERROR(INDEX(Configurações!$C$5:$C$100,MATCH($C485,Configurações!$A$5:$A$100,0)),"Margem"))</f>
        <v/>
      </c>
      <c r="G485" s="78">
        <f>IF($A485="","",IFERROR(INDEX(Configurações!$B$5:$B$100,MATCH($C485,Configurações!$A$5:$A$100,0)),0))</f>
        <v/>
      </c>
      <c r="H485" s="78">
        <f>IF(OR($A485="",'Importar Reservas'!M477&lt;&gt;"Aprovado",$D485&lt;=0),"",MAX(0,IF($F485="Margem",$D485-$E485,$D485))*$G485)</f>
        <v/>
      </c>
    </row>
    <row r="486" ht="15" customHeight="1" s="79">
      <c r="A486" s="78">
        <f>IF('Importar Reservas'!A478="","",'Importar Reservas'!A478)</f>
        <v/>
      </c>
      <c r="B486" s="78">
        <f>IF($A486="","",'Importar Reservas'!B478)</f>
        <v/>
      </c>
      <c r="C486" s="78">
        <f>IF($A486="","",'Importar Reservas'!Z478)</f>
        <v/>
      </c>
      <c r="D486" s="78">
        <f>IF($A486="","",IF('Importar Reservas'!O478="",0,'Importar Reservas'!O478))</f>
        <v/>
      </c>
      <c r="E486" s="78">
        <f>IF($A486="","",IF('Importar Reservas'!N478="",0,'Importar Reservas'!N478))</f>
        <v/>
      </c>
      <c r="F486" s="78">
        <f>IF($A486="","",IFERROR(INDEX(Configurações!$C$5:$C$100,MATCH($C486,Configurações!$A$5:$A$100,0)),"Margem"))</f>
        <v/>
      </c>
      <c r="G486" s="78">
        <f>IF($A486="","",IFERROR(INDEX(Configurações!$B$5:$B$100,MATCH($C486,Configurações!$A$5:$A$100,0)),0))</f>
        <v/>
      </c>
      <c r="H486" s="78">
        <f>IF(OR($A486="",'Importar Reservas'!M478&lt;&gt;"Aprovado",$D486&lt;=0),"",MAX(0,IF($F486="Margem",$D486-$E486,$D486))*$G486)</f>
        <v/>
      </c>
    </row>
    <row r="487" ht="15" customHeight="1" s="79">
      <c r="A487" s="78">
        <f>IF('Importar Reservas'!A479="","",'Importar Reservas'!A479)</f>
        <v/>
      </c>
      <c r="B487" s="78">
        <f>IF($A487="","",'Importar Reservas'!B479)</f>
        <v/>
      </c>
      <c r="C487" s="78">
        <f>IF($A487="","",'Importar Reservas'!Z479)</f>
        <v/>
      </c>
      <c r="D487" s="78">
        <f>IF($A487="","",IF('Importar Reservas'!O479="",0,'Importar Reservas'!O479))</f>
        <v/>
      </c>
      <c r="E487" s="78">
        <f>IF($A487="","",IF('Importar Reservas'!N479="",0,'Importar Reservas'!N479))</f>
        <v/>
      </c>
      <c r="F487" s="78">
        <f>IF($A487="","",IFERROR(INDEX(Configurações!$C$5:$C$100,MATCH($C487,Configurações!$A$5:$A$100,0)),"Margem"))</f>
        <v/>
      </c>
      <c r="G487" s="78">
        <f>IF($A487="","",IFERROR(INDEX(Configurações!$B$5:$B$100,MATCH($C487,Configurações!$A$5:$A$100,0)),0))</f>
        <v/>
      </c>
      <c r="H487" s="78">
        <f>IF(OR($A487="",'Importar Reservas'!M479&lt;&gt;"Aprovado",$D487&lt;=0),"",MAX(0,IF($F487="Margem",$D487-$E487,$D487))*$G487)</f>
        <v/>
      </c>
    </row>
    <row r="488" ht="15" customHeight="1" s="79">
      <c r="A488" s="78">
        <f>IF('Importar Reservas'!A480="","",'Importar Reservas'!A480)</f>
        <v/>
      </c>
      <c r="B488" s="78">
        <f>IF($A488="","",'Importar Reservas'!B480)</f>
        <v/>
      </c>
      <c r="C488" s="78">
        <f>IF($A488="","",'Importar Reservas'!Z480)</f>
        <v/>
      </c>
      <c r="D488" s="78">
        <f>IF($A488="","",IF('Importar Reservas'!O480="",0,'Importar Reservas'!O480))</f>
        <v/>
      </c>
      <c r="E488" s="78">
        <f>IF($A488="","",IF('Importar Reservas'!N480="",0,'Importar Reservas'!N480))</f>
        <v/>
      </c>
      <c r="F488" s="78">
        <f>IF($A488="","",IFERROR(INDEX(Configurações!$C$5:$C$100,MATCH($C488,Configurações!$A$5:$A$100,0)),"Margem"))</f>
        <v/>
      </c>
      <c r="G488" s="78">
        <f>IF($A488="","",IFERROR(INDEX(Configurações!$B$5:$B$100,MATCH($C488,Configurações!$A$5:$A$100,0)),0))</f>
        <v/>
      </c>
      <c r="H488" s="78">
        <f>IF(OR($A488="",'Importar Reservas'!M480&lt;&gt;"Aprovado",$D488&lt;=0),"",MAX(0,IF($F488="Margem",$D488-$E488,$D488))*$G488)</f>
        <v/>
      </c>
    </row>
    <row r="489" ht="15" customHeight="1" s="79">
      <c r="A489" s="78">
        <f>IF('Importar Reservas'!A481="","",'Importar Reservas'!A481)</f>
        <v/>
      </c>
      <c r="B489" s="78">
        <f>IF($A489="","",'Importar Reservas'!B481)</f>
        <v/>
      </c>
      <c r="C489" s="78">
        <f>IF($A489="","",'Importar Reservas'!Z481)</f>
        <v/>
      </c>
      <c r="D489" s="78">
        <f>IF($A489="","",IF('Importar Reservas'!O481="",0,'Importar Reservas'!O481))</f>
        <v/>
      </c>
      <c r="E489" s="78">
        <f>IF($A489="","",IF('Importar Reservas'!N481="",0,'Importar Reservas'!N481))</f>
        <v/>
      </c>
      <c r="F489" s="78">
        <f>IF($A489="","",IFERROR(INDEX(Configurações!$C$5:$C$100,MATCH($C489,Configurações!$A$5:$A$100,0)),"Margem"))</f>
        <v/>
      </c>
      <c r="G489" s="78">
        <f>IF($A489="","",IFERROR(INDEX(Configurações!$B$5:$B$100,MATCH($C489,Configurações!$A$5:$A$100,0)),0))</f>
        <v/>
      </c>
      <c r="H489" s="78">
        <f>IF(OR($A489="",'Importar Reservas'!M481&lt;&gt;"Aprovado",$D489&lt;=0),"",MAX(0,IF($F489="Margem",$D489-$E489,$D489))*$G489)</f>
        <v/>
      </c>
    </row>
    <row r="490" ht="15" customHeight="1" s="79">
      <c r="A490" s="78">
        <f>IF('Importar Reservas'!A482="","",'Importar Reservas'!A482)</f>
        <v/>
      </c>
      <c r="B490" s="78">
        <f>IF($A490="","",'Importar Reservas'!B482)</f>
        <v/>
      </c>
      <c r="C490" s="78">
        <f>IF($A490="","",'Importar Reservas'!Z482)</f>
        <v/>
      </c>
      <c r="D490" s="78">
        <f>IF($A490="","",IF('Importar Reservas'!O482="",0,'Importar Reservas'!O482))</f>
        <v/>
      </c>
      <c r="E490" s="78">
        <f>IF($A490="","",IF('Importar Reservas'!N482="",0,'Importar Reservas'!N482))</f>
        <v/>
      </c>
      <c r="F490" s="78">
        <f>IF($A490="","",IFERROR(INDEX(Configurações!$C$5:$C$100,MATCH($C490,Configurações!$A$5:$A$100,0)),"Margem"))</f>
        <v/>
      </c>
      <c r="G490" s="78">
        <f>IF($A490="","",IFERROR(INDEX(Configurações!$B$5:$B$100,MATCH($C490,Configurações!$A$5:$A$100,0)),0))</f>
        <v/>
      </c>
      <c r="H490" s="78">
        <f>IF(OR($A490="",'Importar Reservas'!M482&lt;&gt;"Aprovado",$D490&lt;=0),"",MAX(0,IF($F490="Margem",$D490-$E490,$D490))*$G490)</f>
        <v/>
      </c>
    </row>
    <row r="491" ht="15" customHeight="1" s="79">
      <c r="A491" s="78">
        <f>IF('Importar Reservas'!A483="","",'Importar Reservas'!A483)</f>
        <v/>
      </c>
      <c r="B491" s="78">
        <f>IF($A491="","",'Importar Reservas'!B483)</f>
        <v/>
      </c>
      <c r="C491" s="78">
        <f>IF($A491="","",'Importar Reservas'!Z483)</f>
        <v/>
      </c>
      <c r="D491" s="78">
        <f>IF($A491="","",IF('Importar Reservas'!O483="",0,'Importar Reservas'!O483))</f>
        <v/>
      </c>
      <c r="E491" s="78">
        <f>IF($A491="","",IF('Importar Reservas'!N483="",0,'Importar Reservas'!N483))</f>
        <v/>
      </c>
      <c r="F491" s="78">
        <f>IF($A491="","",IFERROR(INDEX(Configurações!$C$5:$C$100,MATCH($C491,Configurações!$A$5:$A$100,0)),"Margem"))</f>
        <v/>
      </c>
      <c r="G491" s="78">
        <f>IF($A491="","",IFERROR(INDEX(Configurações!$B$5:$B$100,MATCH($C491,Configurações!$A$5:$A$100,0)),0))</f>
        <v/>
      </c>
      <c r="H491" s="78">
        <f>IF(OR($A491="",'Importar Reservas'!M483&lt;&gt;"Aprovado",$D491&lt;=0),"",MAX(0,IF($F491="Margem",$D491-$E491,$D491))*$G491)</f>
        <v/>
      </c>
    </row>
    <row r="492" ht="15" customHeight="1" s="79">
      <c r="A492" s="78">
        <f>IF('Importar Reservas'!A484="","",'Importar Reservas'!A484)</f>
        <v/>
      </c>
      <c r="B492" s="78">
        <f>IF($A492="","",'Importar Reservas'!B484)</f>
        <v/>
      </c>
      <c r="C492" s="78">
        <f>IF($A492="","",'Importar Reservas'!Z484)</f>
        <v/>
      </c>
      <c r="D492" s="78">
        <f>IF($A492="","",IF('Importar Reservas'!O484="",0,'Importar Reservas'!O484))</f>
        <v/>
      </c>
      <c r="E492" s="78">
        <f>IF($A492="","",IF('Importar Reservas'!N484="",0,'Importar Reservas'!N484))</f>
        <v/>
      </c>
      <c r="F492" s="78">
        <f>IF($A492="","",IFERROR(INDEX(Configurações!$C$5:$C$100,MATCH($C492,Configurações!$A$5:$A$100,0)),"Margem"))</f>
        <v/>
      </c>
      <c r="G492" s="78">
        <f>IF($A492="","",IFERROR(INDEX(Configurações!$B$5:$B$100,MATCH($C492,Configurações!$A$5:$A$100,0)),0))</f>
        <v/>
      </c>
      <c r="H492" s="78">
        <f>IF(OR($A492="",'Importar Reservas'!M484&lt;&gt;"Aprovado",$D492&lt;=0),"",MAX(0,IF($F492="Margem",$D492-$E492,$D492))*$G492)</f>
        <v/>
      </c>
    </row>
    <row r="493" ht="15" customHeight="1" s="79">
      <c r="A493" s="78">
        <f>IF('Importar Reservas'!A485="","",'Importar Reservas'!A485)</f>
        <v/>
      </c>
      <c r="B493" s="78">
        <f>IF($A493="","",'Importar Reservas'!B485)</f>
        <v/>
      </c>
      <c r="C493" s="78">
        <f>IF($A493="","",'Importar Reservas'!Z485)</f>
        <v/>
      </c>
      <c r="D493" s="78">
        <f>IF($A493="","",IF('Importar Reservas'!O485="",0,'Importar Reservas'!O485))</f>
        <v/>
      </c>
      <c r="E493" s="78">
        <f>IF($A493="","",IF('Importar Reservas'!N485="",0,'Importar Reservas'!N485))</f>
        <v/>
      </c>
      <c r="F493" s="78">
        <f>IF($A493="","",IFERROR(INDEX(Configurações!$C$5:$C$100,MATCH($C493,Configurações!$A$5:$A$100,0)),"Margem"))</f>
        <v/>
      </c>
      <c r="G493" s="78">
        <f>IF($A493="","",IFERROR(INDEX(Configurações!$B$5:$B$100,MATCH($C493,Configurações!$A$5:$A$100,0)),0))</f>
        <v/>
      </c>
      <c r="H493" s="78">
        <f>IF(OR($A493="",'Importar Reservas'!M485&lt;&gt;"Aprovado",$D493&lt;=0),"",MAX(0,IF($F493="Margem",$D493-$E493,$D493))*$G493)</f>
        <v/>
      </c>
    </row>
    <row r="494" ht="15" customHeight="1" s="79">
      <c r="A494" s="78">
        <f>IF('Importar Reservas'!A486="","",'Importar Reservas'!A486)</f>
        <v/>
      </c>
      <c r="B494" s="78">
        <f>IF($A494="","",'Importar Reservas'!B486)</f>
        <v/>
      </c>
      <c r="C494" s="78">
        <f>IF($A494="","",'Importar Reservas'!Z486)</f>
        <v/>
      </c>
      <c r="D494" s="78">
        <f>IF($A494="","",IF('Importar Reservas'!O486="",0,'Importar Reservas'!O486))</f>
        <v/>
      </c>
      <c r="E494" s="78">
        <f>IF($A494="","",IF('Importar Reservas'!N486="",0,'Importar Reservas'!N486))</f>
        <v/>
      </c>
      <c r="F494" s="78">
        <f>IF($A494="","",IFERROR(INDEX(Configurações!$C$5:$C$100,MATCH($C494,Configurações!$A$5:$A$100,0)),"Margem"))</f>
        <v/>
      </c>
      <c r="G494" s="78">
        <f>IF($A494="","",IFERROR(INDEX(Configurações!$B$5:$B$100,MATCH($C494,Configurações!$A$5:$A$100,0)),0))</f>
        <v/>
      </c>
      <c r="H494" s="78">
        <f>IF(OR($A494="",'Importar Reservas'!M486&lt;&gt;"Aprovado",$D494&lt;=0),"",MAX(0,IF($F494="Margem",$D494-$E494,$D494))*$G494)</f>
        <v/>
      </c>
    </row>
    <row r="495" ht="15" customHeight="1" s="79">
      <c r="A495" s="78">
        <f>IF('Importar Reservas'!A487="","",'Importar Reservas'!A487)</f>
        <v/>
      </c>
      <c r="B495" s="78">
        <f>IF($A495="","",'Importar Reservas'!B487)</f>
        <v/>
      </c>
      <c r="C495" s="78">
        <f>IF($A495="","",'Importar Reservas'!Z487)</f>
        <v/>
      </c>
      <c r="D495" s="78">
        <f>IF($A495="","",IF('Importar Reservas'!O487="",0,'Importar Reservas'!O487))</f>
        <v/>
      </c>
      <c r="E495" s="78">
        <f>IF($A495="","",IF('Importar Reservas'!N487="",0,'Importar Reservas'!N487))</f>
        <v/>
      </c>
      <c r="F495" s="78">
        <f>IF($A495="","",IFERROR(INDEX(Configurações!$C$5:$C$100,MATCH($C495,Configurações!$A$5:$A$100,0)),"Margem"))</f>
        <v/>
      </c>
      <c r="G495" s="78">
        <f>IF($A495="","",IFERROR(INDEX(Configurações!$B$5:$B$100,MATCH($C495,Configurações!$A$5:$A$100,0)),0))</f>
        <v/>
      </c>
      <c r="H495" s="78">
        <f>IF(OR($A495="",'Importar Reservas'!M487&lt;&gt;"Aprovado",$D495&lt;=0),"",MAX(0,IF($F495="Margem",$D495-$E495,$D495))*$G495)</f>
        <v/>
      </c>
    </row>
    <row r="496" ht="15" customHeight="1" s="79">
      <c r="A496" s="78">
        <f>IF('Importar Reservas'!A488="","",'Importar Reservas'!A488)</f>
        <v/>
      </c>
      <c r="B496" s="78">
        <f>IF($A496="","",'Importar Reservas'!B488)</f>
        <v/>
      </c>
      <c r="C496" s="78">
        <f>IF($A496="","",'Importar Reservas'!Z488)</f>
        <v/>
      </c>
      <c r="D496" s="78">
        <f>IF($A496="","",IF('Importar Reservas'!O488="",0,'Importar Reservas'!O488))</f>
        <v/>
      </c>
      <c r="E496" s="78">
        <f>IF($A496="","",IF('Importar Reservas'!N488="",0,'Importar Reservas'!N488))</f>
        <v/>
      </c>
      <c r="F496" s="78">
        <f>IF($A496="","",IFERROR(INDEX(Configurações!$C$5:$C$100,MATCH($C496,Configurações!$A$5:$A$100,0)),"Margem"))</f>
        <v/>
      </c>
      <c r="G496" s="78">
        <f>IF($A496="","",IFERROR(INDEX(Configurações!$B$5:$B$100,MATCH($C496,Configurações!$A$5:$A$100,0)),0))</f>
        <v/>
      </c>
      <c r="H496" s="78">
        <f>IF(OR($A496="",'Importar Reservas'!M488&lt;&gt;"Aprovado",$D496&lt;=0),"",MAX(0,IF($F496="Margem",$D496-$E496,$D496))*$G496)</f>
        <v/>
      </c>
    </row>
    <row r="497" ht="15" customHeight="1" s="79">
      <c r="A497" s="78">
        <f>IF('Importar Reservas'!A489="","",'Importar Reservas'!A489)</f>
        <v/>
      </c>
      <c r="B497" s="78">
        <f>IF($A497="","",'Importar Reservas'!B489)</f>
        <v/>
      </c>
      <c r="C497" s="78">
        <f>IF($A497="","",'Importar Reservas'!Z489)</f>
        <v/>
      </c>
      <c r="D497" s="78">
        <f>IF($A497="","",IF('Importar Reservas'!O489="",0,'Importar Reservas'!O489))</f>
        <v/>
      </c>
      <c r="E497" s="78">
        <f>IF($A497="","",IF('Importar Reservas'!N489="",0,'Importar Reservas'!N489))</f>
        <v/>
      </c>
      <c r="F497" s="78">
        <f>IF($A497="","",IFERROR(INDEX(Configurações!$C$5:$C$100,MATCH($C497,Configurações!$A$5:$A$100,0)),"Margem"))</f>
        <v/>
      </c>
      <c r="G497" s="78">
        <f>IF($A497="","",IFERROR(INDEX(Configurações!$B$5:$B$100,MATCH($C497,Configurações!$A$5:$A$100,0)),0))</f>
        <v/>
      </c>
      <c r="H497" s="78">
        <f>IF(OR($A497="",'Importar Reservas'!M489&lt;&gt;"Aprovado",$D497&lt;=0),"",MAX(0,IF($F497="Margem",$D497-$E497,$D497))*$G497)</f>
        <v/>
      </c>
    </row>
    <row r="498" ht="15" customHeight="1" s="79">
      <c r="A498" s="78">
        <f>IF('Importar Reservas'!A490="","",'Importar Reservas'!A490)</f>
        <v/>
      </c>
      <c r="B498" s="78">
        <f>IF($A498="","",'Importar Reservas'!B490)</f>
        <v/>
      </c>
      <c r="C498" s="78">
        <f>IF($A498="","",'Importar Reservas'!Z490)</f>
        <v/>
      </c>
      <c r="D498" s="78">
        <f>IF($A498="","",IF('Importar Reservas'!O490="",0,'Importar Reservas'!O490))</f>
        <v/>
      </c>
      <c r="E498" s="78">
        <f>IF($A498="","",IF('Importar Reservas'!N490="",0,'Importar Reservas'!N490))</f>
        <v/>
      </c>
      <c r="F498" s="78">
        <f>IF($A498="","",IFERROR(INDEX(Configurações!$C$5:$C$100,MATCH($C498,Configurações!$A$5:$A$100,0)),"Margem"))</f>
        <v/>
      </c>
      <c r="G498" s="78">
        <f>IF($A498="","",IFERROR(INDEX(Configurações!$B$5:$B$100,MATCH($C498,Configurações!$A$5:$A$100,0)),0))</f>
        <v/>
      </c>
      <c r="H498" s="78">
        <f>IF(OR($A498="",'Importar Reservas'!M490&lt;&gt;"Aprovado",$D498&lt;=0),"",MAX(0,IF($F498="Margem",$D498-$E498,$D498))*$G498)</f>
        <v/>
      </c>
    </row>
    <row r="499" ht="15" customHeight="1" s="79">
      <c r="A499" s="78">
        <f>IF('Importar Reservas'!A491="","",'Importar Reservas'!A491)</f>
        <v/>
      </c>
      <c r="B499" s="78">
        <f>IF($A499="","",'Importar Reservas'!B491)</f>
        <v/>
      </c>
      <c r="C499" s="78">
        <f>IF($A499="","",'Importar Reservas'!Z491)</f>
        <v/>
      </c>
      <c r="D499" s="78">
        <f>IF($A499="","",IF('Importar Reservas'!O491="",0,'Importar Reservas'!O491))</f>
        <v/>
      </c>
      <c r="E499" s="78">
        <f>IF($A499="","",IF('Importar Reservas'!N491="",0,'Importar Reservas'!N491))</f>
        <v/>
      </c>
      <c r="F499" s="78">
        <f>IF($A499="","",IFERROR(INDEX(Configurações!$C$5:$C$100,MATCH($C499,Configurações!$A$5:$A$100,0)),"Margem"))</f>
        <v/>
      </c>
      <c r="G499" s="78">
        <f>IF($A499="","",IFERROR(INDEX(Configurações!$B$5:$B$100,MATCH($C499,Configurações!$A$5:$A$100,0)),0))</f>
        <v/>
      </c>
      <c r="H499" s="78">
        <f>IF(OR($A499="",'Importar Reservas'!M491&lt;&gt;"Aprovado",$D499&lt;=0),"",MAX(0,IF($F499="Margem",$D499-$E499,$D499))*$G499)</f>
        <v/>
      </c>
    </row>
    <row r="500" ht="15" customHeight="1" s="79">
      <c r="A500" s="78">
        <f>IF('Importar Reservas'!A492="","",'Importar Reservas'!A492)</f>
        <v/>
      </c>
      <c r="B500" s="78">
        <f>IF($A500="","",'Importar Reservas'!B492)</f>
        <v/>
      </c>
      <c r="C500" s="78">
        <f>IF($A500="","",'Importar Reservas'!Z492)</f>
        <v/>
      </c>
      <c r="D500" s="78">
        <f>IF($A500="","",IF('Importar Reservas'!O492="",0,'Importar Reservas'!O492))</f>
        <v/>
      </c>
      <c r="E500" s="78">
        <f>IF($A500="","",IF('Importar Reservas'!N492="",0,'Importar Reservas'!N492))</f>
        <v/>
      </c>
      <c r="F500" s="78">
        <f>IF($A500="","",IFERROR(INDEX(Configurações!$C$5:$C$100,MATCH($C500,Configurações!$A$5:$A$100,0)),"Margem"))</f>
        <v/>
      </c>
      <c r="G500" s="78">
        <f>IF($A500="","",IFERROR(INDEX(Configurações!$B$5:$B$100,MATCH($C500,Configurações!$A$5:$A$100,0)),0))</f>
        <v/>
      </c>
      <c r="H500" s="78">
        <f>IF(OR($A500="",'Importar Reservas'!M492&lt;&gt;"Aprovado",$D500&lt;=0),"",MAX(0,IF($F500="Margem",$D500-$E500,$D500))*$G500)</f>
        <v/>
      </c>
    </row>
    <row r="501" ht="15" customHeight="1" s="79">
      <c r="A501" s="78">
        <f>IF('Importar Reservas'!A493="","",'Importar Reservas'!A493)</f>
        <v/>
      </c>
      <c r="B501" s="78">
        <f>IF($A501="","",'Importar Reservas'!B493)</f>
        <v/>
      </c>
      <c r="C501" s="78">
        <f>IF($A501="","",'Importar Reservas'!Z493)</f>
        <v/>
      </c>
      <c r="D501" s="78">
        <f>IF($A501="","",IF('Importar Reservas'!O493="",0,'Importar Reservas'!O493))</f>
        <v/>
      </c>
      <c r="E501" s="78">
        <f>IF($A501="","",IF('Importar Reservas'!N493="",0,'Importar Reservas'!N493))</f>
        <v/>
      </c>
      <c r="F501" s="78">
        <f>IF($A501="","",IFERROR(INDEX(Configurações!$C$5:$C$100,MATCH($C501,Configurações!$A$5:$A$100,0)),"Margem"))</f>
        <v/>
      </c>
      <c r="G501" s="78">
        <f>IF($A501="","",IFERROR(INDEX(Configurações!$B$5:$B$100,MATCH($C501,Configurações!$A$5:$A$100,0)),0))</f>
        <v/>
      </c>
      <c r="H501" s="78">
        <f>IF(OR($A501="",'Importar Reservas'!M493&lt;&gt;"Aprovado",$D501&lt;=0),"",MAX(0,IF($F501="Margem",$D501-$E501,$D501))*$G501)</f>
        <v/>
      </c>
    </row>
    <row r="502" ht="15" customHeight="1" s="79">
      <c r="A502" s="78">
        <f>IF('Importar Reservas'!A494="","",'Importar Reservas'!A494)</f>
        <v/>
      </c>
      <c r="B502" s="78">
        <f>IF($A502="","",'Importar Reservas'!B494)</f>
        <v/>
      </c>
      <c r="C502" s="78">
        <f>IF($A502="","",'Importar Reservas'!Z494)</f>
        <v/>
      </c>
      <c r="D502" s="78">
        <f>IF($A502="","",IF('Importar Reservas'!O494="",0,'Importar Reservas'!O494))</f>
        <v/>
      </c>
      <c r="E502" s="78">
        <f>IF($A502="","",IF('Importar Reservas'!N494="",0,'Importar Reservas'!N494))</f>
        <v/>
      </c>
      <c r="F502" s="78">
        <f>IF($A502="","",IFERROR(INDEX(Configurações!$C$5:$C$100,MATCH($C502,Configurações!$A$5:$A$100,0)),"Margem"))</f>
        <v/>
      </c>
      <c r="G502" s="78">
        <f>IF($A502="","",IFERROR(INDEX(Configurações!$B$5:$B$100,MATCH($C502,Configurações!$A$5:$A$100,0)),0))</f>
        <v/>
      </c>
      <c r="H502" s="78">
        <f>IF(OR($A502="",'Importar Reservas'!M494&lt;&gt;"Aprovado",$D502&lt;=0),"",MAX(0,IF($F502="Margem",$D502-$E502,$D502))*$G502)</f>
        <v/>
      </c>
    </row>
    <row r="503" ht="15" customHeight="1" s="79">
      <c r="A503" s="78">
        <f>IF('Importar Reservas'!A495="","",'Importar Reservas'!A495)</f>
        <v/>
      </c>
      <c r="B503" s="78">
        <f>IF($A503="","",'Importar Reservas'!B495)</f>
        <v/>
      </c>
      <c r="C503" s="78">
        <f>IF($A503="","",'Importar Reservas'!Z495)</f>
        <v/>
      </c>
      <c r="D503" s="78">
        <f>IF($A503="","",IF('Importar Reservas'!O495="",0,'Importar Reservas'!O495))</f>
        <v/>
      </c>
      <c r="E503" s="78">
        <f>IF($A503="","",IF('Importar Reservas'!N495="",0,'Importar Reservas'!N495))</f>
        <v/>
      </c>
      <c r="F503" s="78">
        <f>IF($A503="","",IFERROR(INDEX(Configurações!$C$5:$C$100,MATCH($C503,Configurações!$A$5:$A$100,0)),"Margem"))</f>
        <v/>
      </c>
      <c r="G503" s="78">
        <f>IF($A503="","",IFERROR(INDEX(Configurações!$B$5:$B$100,MATCH($C503,Configurações!$A$5:$A$100,0)),0))</f>
        <v/>
      </c>
      <c r="H503" s="78">
        <f>IF(OR($A503="",'Importar Reservas'!M495&lt;&gt;"Aprovado",$D503&lt;=0),"",MAX(0,IF($F503="Margem",$D503-$E503,$D503))*$G503)</f>
        <v/>
      </c>
    </row>
    <row r="504" ht="15" customHeight="1" s="79">
      <c r="A504" s="78">
        <f>IF('Importar Reservas'!A496="","",'Importar Reservas'!A496)</f>
        <v/>
      </c>
      <c r="B504" s="78">
        <f>IF($A504="","",'Importar Reservas'!B496)</f>
        <v/>
      </c>
      <c r="C504" s="78">
        <f>IF($A504="","",'Importar Reservas'!Z496)</f>
        <v/>
      </c>
      <c r="D504" s="78">
        <f>IF($A504="","",IF('Importar Reservas'!O496="",0,'Importar Reservas'!O496))</f>
        <v/>
      </c>
      <c r="E504" s="78">
        <f>IF($A504="","",IF('Importar Reservas'!N496="",0,'Importar Reservas'!N496))</f>
        <v/>
      </c>
      <c r="F504" s="78">
        <f>IF($A504="","",IFERROR(INDEX(Configurações!$C$5:$C$100,MATCH($C504,Configurações!$A$5:$A$100,0)),"Margem"))</f>
        <v/>
      </c>
      <c r="G504" s="78">
        <f>IF($A504="","",IFERROR(INDEX(Configurações!$B$5:$B$100,MATCH($C504,Configurações!$A$5:$A$100,0)),0))</f>
        <v/>
      </c>
      <c r="H504" s="78">
        <f>IF(OR($A504="",'Importar Reservas'!M496&lt;&gt;"Aprovado",$D504&lt;=0),"",MAX(0,IF($F504="Margem",$D504-$E504,$D504))*$G504)</f>
        <v/>
      </c>
    </row>
    <row r="505" ht="15" customHeight="1" s="79">
      <c r="A505" s="78">
        <f>IF('Importar Reservas'!A497="","",'Importar Reservas'!A497)</f>
        <v/>
      </c>
      <c r="B505" s="78">
        <f>IF($A505="","",'Importar Reservas'!B497)</f>
        <v/>
      </c>
      <c r="C505" s="78">
        <f>IF($A505="","",'Importar Reservas'!Z497)</f>
        <v/>
      </c>
      <c r="D505" s="78">
        <f>IF($A505="","",IF('Importar Reservas'!O497="",0,'Importar Reservas'!O497))</f>
        <v/>
      </c>
      <c r="E505" s="78">
        <f>IF($A505="","",IF('Importar Reservas'!N497="",0,'Importar Reservas'!N497))</f>
        <v/>
      </c>
      <c r="F505" s="78">
        <f>IF($A505="","",IFERROR(INDEX(Configurações!$C$5:$C$100,MATCH($C505,Configurações!$A$5:$A$100,0)),"Margem"))</f>
        <v/>
      </c>
      <c r="G505" s="78">
        <f>IF($A505="","",IFERROR(INDEX(Configurações!$B$5:$B$100,MATCH($C505,Configurações!$A$5:$A$100,0)),0))</f>
        <v/>
      </c>
      <c r="H505" s="78">
        <f>IF(OR($A505="",'Importar Reservas'!M497&lt;&gt;"Aprovado",$D505&lt;=0),"",MAX(0,IF($F505="Margem",$D505-$E505,$D505))*$G505)</f>
        <v/>
      </c>
    </row>
    <row r="506" ht="15" customHeight="1" s="79">
      <c r="A506" s="78">
        <f>IF('Importar Reservas'!A498="","",'Importar Reservas'!A498)</f>
        <v/>
      </c>
      <c r="B506" s="78">
        <f>IF($A506="","",'Importar Reservas'!B498)</f>
        <v/>
      </c>
      <c r="C506" s="78">
        <f>IF($A506="","",'Importar Reservas'!Z498)</f>
        <v/>
      </c>
      <c r="D506" s="78">
        <f>IF($A506="","",IF('Importar Reservas'!O498="",0,'Importar Reservas'!O498))</f>
        <v/>
      </c>
      <c r="E506" s="78">
        <f>IF($A506="","",IF('Importar Reservas'!N498="",0,'Importar Reservas'!N498))</f>
        <v/>
      </c>
      <c r="F506" s="78">
        <f>IF($A506="","",IFERROR(INDEX(Configurações!$C$5:$C$100,MATCH($C506,Configurações!$A$5:$A$100,0)),"Margem"))</f>
        <v/>
      </c>
      <c r="G506" s="78">
        <f>IF($A506="","",IFERROR(INDEX(Configurações!$B$5:$B$100,MATCH($C506,Configurações!$A$5:$A$100,0)),0))</f>
        <v/>
      </c>
      <c r="H506" s="78">
        <f>IF(OR($A506="",'Importar Reservas'!M498&lt;&gt;"Aprovado",$D506&lt;=0),"",MAX(0,IF($F506="Margem",$D506-$E506,$D506))*$G506)</f>
        <v/>
      </c>
    </row>
    <row r="507" ht="15" customHeight="1" s="79">
      <c r="A507" s="78">
        <f>IF('Importar Reservas'!A499="","",'Importar Reservas'!A499)</f>
        <v/>
      </c>
      <c r="B507" s="78">
        <f>IF($A507="","",'Importar Reservas'!B499)</f>
        <v/>
      </c>
      <c r="C507" s="78">
        <f>IF($A507="","",'Importar Reservas'!Z499)</f>
        <v/>
      </c>
      <c r="D507" s="78">
        <f>IF($A507="","",IF('Importar Reservas'!O499="",0,'Importar Reservas'!O499))</f>
        <v/>
      </c>
      <c r="E507" s="78">
        <f>IF($A507="","",IF('Importar Reservas'!N499="",0,'Importar Reservas'!N499))</f>
        <v/>
      </c>
      <c r="F507" s="78">
        <f>IF($A507="","",IFERROR(INDEX(Configurações!$C$5:$C$100,MATCH($C507,Configurações!$A$5:$A$100,0)),"Margem"))</f>
        <v/>
      </c>
      <c r="G507" s="78">
        <f>IF($A507="","",IFERROR(INDEX(Configurações!$B$5:$B$100,MATCH($C507,Configurações!$A$5:$A$100,0)),0))</f>
        <v/>
      </c>
      <c r="H507" s="78">
        <f>IF(OR($A507="",'Importar Reservas'!M499&lt;&gt;"Aprovado",$D507&lt;=0),"",MAX(0,IF($F507="Margem",$D507-$E507,$D507))*$G507)</f>
        <v/>
      </c>
    </row>
    <row r="508" ht="15" customHeight="1" s="79">
      <c r="A508" s="78">
        <f>IF('Importar Reservas'!A500="","",'Importar Reservas'!A500)</f>
        <v/>
      </c>
      <c r="B508" s="78">
        <f>IF($A508="","",'Importar Reservas'!B500)</f>
        <v/>
      </c>
      <c r="C508" s="78">
        <f>IF($A508="","",'Importar Reservas'!Z500)</f>
        <v/>
      </c>
      <c r="D508" s="78">
        <f>IF($A508="","",IF('Importar Reservas'!O500="",0,'Importar Reservas'!O500))</f>
        <v/>
      </c>
      <c r="E508" s="78">
        <f>IF($A508="","",IF('Importar Reservas'!N500="",0,'Importar Reservas'!N500))</f>
        <v/>
      </c>
      <c r="F508" s="78">
        <f>IF($A508="","",IFERROR(INDEX(Configurações!$C$5:$C$100,MATCH($C508,Configurações!$A$5:$A$100,0)),"Margem"))</f>
        <v/>
      </c>
      <c r="G508" s="78">
        <f>IF($A508="","",IFERROR(INDEX(Configurações!$B$5:$B$100,MATCH($C508,Configurações!$A$5:$A$100,0)),0))</f>
        <v/>
      </c>
      <c r="H508" s="78">
        <f>IF(OR($A508="",'Importar Reservas'!M500&lt;&gt;"Aprovado",$D508&lt;=0),"",MAX(0,IF($F508="Margem",$D508-$E508,$D508))*$G508)</f>
        <v/>
      </c>
    </row>
    <row r="509" ht="15" customHeight="1" s="79">
      <c r="A509" s="78">
        <f>IF('Importar Reservas'!A501="","",'Importar Reservas'!A501)</f>
        <v/>
      </c>
      <c r="B509" s="78">
        <f>IF($A509="","",'Importar Reservas'!B501)</f>
        <v/>
      </c>
      <c r="C509" s="78">
        <f>IF($A509="","",'Importar Reservas'!Z501)</f>
        <v/>
      </c>
      <c r="D509" s="78">
        <f>IF($A509="","",IF('Importar Reservas'!O501="",0,'Importar Reservas'!O501))</f>
        <v/>
      </c>
      <c r="E509" s="78">
        <f>IF($A509="","",IF('Importar Reservas'!N501="",0,'Importar Reservas'!N501))</f>
        <v/>
      </c>
      <c r="F509" s="78">
        <f>IF($A509="","",IFERROR(INDEX(Configurações!$C$5:$C$100,MATCH($C509,Configurações!$A$5:$A$100,0)),"Margem"))</f>
        <v/>
      </c>
      <c r="G509" s="78">
        <f>IF($A509="","",IFERROR(INDEX(Configurações!$B$5:$B$100,MATCH($C509,Configurações!$A$5:$A$100,0)),0))</f>
        <v/>
      </c>
      <c r="H509" s="78">
        <f>IF(OR($A509="",'Importar Reservas'!M501&lt;&gt;"Aprovado",$D509&lt;=0),"",MAX(0,IF($F509="Margem",$D509-$E509,$D509))*$G509)</f>
        <v/>
      </c>
    </row>
    <row r="510" ht="15" customHeight="1" s="79">
      <c r="A510" s="78">
        <f>IF('Importar Reservas'!A502="","",'Importar Reservas'!A502)</f>
        <v/>
      </c>
      <c r="B510" s="78">
        <f>IF($A510="","",'Importar Reservas'!B502)</f>
        <v/>
      </c>
      <c r="C510" s="78">
        <f>IF($A510="","",'Importar Reservas'!Z502)</f>
        <v/>
      </c>
      <c r="D510" s="78">
        <f>IF($A510="","",IF('Importar Reservas'!O502="",0,'Importar Reservas'!O502))</f>
        <v/>
      </c>
      <c r="E510" s="78">
        <f>IF($A510="","",IF('Importar Reservas'!N502="",0,'Importar Reservas'!N502))</f>
        <v/>
      </c>
      <c r="F510" s="78">
        <f>IF($A510="","",IFERROR(INDEX(Configurações!$C$5:$C$100,MATCH($C510,Configurações!$A$5:$A$100,0)),"Margem"))</f>
        <v/>
      </c>
      <c r="G510" s="78">
        <f>IF($A510="","",IFERROR(INDEX(Configurações!$B$5:$B$100,MATCH($C510,Configurações!$A$5:$A$100,0)),0))</f>
        <v/>
      </c>
      <c r="H510" s="78">
        <f>IF(OR($A510="",'Importar Reservas'!M502&lt;&gt;"Aprovado",$D510&lt;=0),"",MAX(0,IF($F510="Margem",$D510-$E510,$D510))*$G510)</f>
        <v/>
      </c>
    </row>
    <row r="511" ht="15" customHeight="1" s="79">
      <c r="A511" s="78">
        <f>IF('Importar Reservas'!A503="","",'Importar Reservas'!A503)</f>
        <v/>
      </c>
      <c r="B511" s="78">
        <f>IF($A511="","",'Importar Reservas'!B503)</f>
        <v/>
      </c>
      <c r="C511" s="78">
        <f>IF($A511="","",'Importar Reservas'!Z503)</f>
        <v/>
      </c>
      <c r="D511" s="78">
        <f>IF($A511="","",IF('Importar Reservas'!O503="",0,'Importar Reservas'!O503))</f>
        <v/>
      </c>
      <c r="E511" s="78">
        <f>IF($A511="","",IF('Importar Reservas'!N503="",0,'Importar Reservas'!N503))</f>
        <v/>
      </c>
      <c r="F511" s="78">
        <f>IF($A511="","",IFERROR(INDEX(Configurações!$C$5:$C$100,MATCH($C511,Configurações!$A$5:$A$100,0)),"Margem"))</f>
        <v/>
      </c>
      <c r="G511" s="78">
        <f>IF($A511="","",IFERROR(INDEX(Configurações!$B$5:$B$100,MATCH($C511,Configurações!$A$5:$A$100,0)),0))</f>
        <v/>
      </c>
      <c r="H511" s="78">
        <f>IF(OR($A511="",'Importar Reservas'!M503&lt;&gt;"Aprovado",$D511&lt;=0),"",MAX(0,IF($F511="Margem",$D511-$E511,$D511))*$G511)</f>
        <v/>
      </c>
    </row>
    <row r="512" ht="15" customHeight="1" s="79">
      <c r="A512" s="78">
        <f>IF('Importar Reservas'!A504="","",'Importar Reservas'!A504)</f>
        <v/>
      </c>
      <c r="B512" s="78">
        <f>IF($A512="","",'Importar Reservas'!B504)</f>
        <v/>
      </c>
      <c r="C512" s="78">
        <f>IF($A512="","",'Importar Reservas'!Z504)</f>
        <v/>
      </c>
      <c r="D512" s="78">
        <f>IF($A512="","",IF('Importar Reservas'!O504="",0,'Importar Reservas'!O504))</f>
        <v/>
      </c>
      <c r="E512" s="78">
        <f>IF($A512="","",IF('Importar Reservas'!N504="",0,'Importar Reservas'!N504))</f>
        <v/>
      </c>
      <c r="F512" s="78">
        <f>IF($A512="","",IFERROR(INDEX(Configurações!$C$5:$C$100,MATCH($C512,Configurações!$A$5:$A$100,0)),"Margem"))</f>
        <v/>
      </c>
      <c r="G512" s="78">
        <f>IF($A512="","",IFERROR(INDEX(Configurações!$B$5:$B$100,MATCH($C512,Configurações!$A$5:$A$100,0)),0))</f>
        <v/>
      </c>
      <c r="H512" s="78">
        <f>IF(OR($A512="",'Importar Reservas'!M504&lt;&gt;"Aprovado",$D512&lt;=0),"",MAX(0,IF($F512="Margem",$D512-$E512,$D512))*$G512)</f>
        <v/>
      </c>
    </row>
    <row r="513" ht="15" customHeight="1" s="79">
      <c r="A513" s="78">
        <f>IF('Importar Reservas'!A505="","",'Importar Reservas'!A505)</f>
        <v/>
      </c>
      <c r="B513" s="78">
        <f>IF($A513="","",'Importar Reservas'!B505)</f>
        <v/>
      </c>
      <c r="C513" s="78">
        <f>IF($A513="","",'Importar Reservas'!Z505)</f>
        <v/>
      </c>
      <c r="D513" s="78">
        <f>IF($A513="","",IF('Importar Reservas'!O505="",0,'Importar Reservas'!O505))</f>
        <v/>
      </c>
      <c r="E513" s="78">
        <f>IF($A513="","",IF('Importar Reservas'!N505="",0,'Importar Reservas'!N505))</f>
        <v/>
      </c>
      <c r="F513" s="78">
        <f>IF($A513="","",IFERROR(INDEX(Configurações!$C$5:$C$100,MATCH($C513,Configurações!$A$5:$A$100,0)),"Margem"))</f>
        <v/>
      </c>
      <c r="G513" s="78">
        <f>IF($A513="","",IFERROR(INDEX(Configurações!$B$5:$B$100,MATCH($C513,Configurações!$A$5:$A$100,0)),0))</f>
        <v/>
      </c>
      <c r="H513" s="78">
        <f>IF(OR($A513="",'Importar Reservas'!M505&lt;&gt;"Aprovado",$D513&lt;=0),"",MAX(0,IF($F513="Margem",$D513-$E513,$D513))*$G513)</f>
        <v/>
      </c>
    </row>
    <row r="514" ht="15" customHeight="1" s="79">
      <c r="A514" s="78">
        <f>IF('Importar Reservas'!A506="","",'Importar Reservas'!A506)</f>
        <v/>
      </c>
      <c r="B514" s="78">
        <f>IF($A514="","",'Importar Reservas'!B506)</f>
        <v/>
      </c>
      <c r="C514" s="78">
        <f>IF($A514="","",'Importar Reservas'!Z506)</f>
        <v/>
      </c>
      <c r="D514" s="78">
        <f>IF($A514="","",IF('Importar Reservas'!O506="",0,'Importar Reservas'!O506))</f>
        <v/>
      </c>
      <c r="E514" s="78">
        <f>IF($A514="","",IF('Importar Reservas'!N506="",0,'Importar Reservas'!N506))</f>
        <v/>
      </c>
      <c r="F514" s="78">
        <f>IF($A514="","",IFERROR(INDEX(Configurações!$C$5:$C$100,MATCH($C514,Configurações!$A$5:$A$100,0)),"Margem"))</f>
        <v/>
      </c>
      <c r="G514" s="78">
        <f>IF($A514="","",IFERROR(INDEX(Configurações!$B$5:$B$100,MATCH($C514,Configurações!$A$5:$A$100,0)),0))</f>
        <v/>
      </c>
      <c r="H514" s="78">
        <f>IF(OR($A514="",'Importar Reservas'!M506&lt;&gt;"Aprovado",$D514&lt;=0),"",MAX(0,IF($F514="Margem",$D514-$E514,$D514))*$G514)</f>
        <v/>
      </c>
    </row>
    <row r="515" ht="15" customHeight="1" s="79">
      <c r="A515" s="78">
        <f>IF('Importar Reservas'!A507="","",'Importar Reservas'!A507)</f>
        <v/>
      </c>
      <c r="B515" s="78">
        <f>IF($A515="","",'Importar Reservas'!B507)</f>
        <v/>
      </c>
      <c r="C515" s="78">
        <f>IF($A515="","",'Importar Reservas'!Z507)</f>
        <v/>
      </c>
      <c r="D515" s="78">
        <f>IF($A515="","",IF('Importar Reservas'!O507="",0,'Importar Reservas'!O507))</f>
        <v/>
      </c>
      <c r="E515" s="78">
        <f>IF($A515="","",IF('Importar Reservas'!N507="",0,'Importar Reservas'!N507))</f>
        <v/>
      </c>
      <c r="F515" s="78">
        <f>IF($A515="","",IFERROR(INDEX(Configurações!$C$5:$C$100,MATCH($C515,Configurações!$A$5:$A$100,0)),"Margem"))</f>
        <v/>
      </c>
      <c r="G515" s="78">
        <f>IF($A515="","",IFERROR(INDEX(Configurações!$B$5:$B$100,MATCH($C515,Configurações!$A$5:$A$100,0)),0))</f>
        <v/>
      </c>
      <c r="H515" s="78">
        <f>IF(OR($A515="",'Importar Reservas'!M507&lt;&gt;"Aprovado",$D515&lt;=0),"",MAX(0,IF($F515="Margem",$D515-$E515,$D515))*$G515)</f>
        <v/>
      </c>
    </row>
    <row r="516" ht="15" customHeight="1" s="79">
      <c r="A516" s="78">
        <f>IF('Importar Reservas'!A508="","",'Importar Reservas'!A508)</f>
        <v/>
      </c>
      <c r="B516" s="78">
        <f>IF($A516="","",'Importar Reservas'!B508)</f>
        <v/>
      </c>
      <c r="C516" s="78">
        <f>IF($A516="","",'Importar Reservas'!Z508)</f>
        <v/>
      </c>
      <c r="D516" s="78">
        <f>IF($A516="","",IF('Importar Reservas'!O508="",0,'Importar Reservas'!O508))</f>
        <v/>
      </c>
      <c r="E516" s="78">
        <f>IF($A516="","",IF('Importar Reservas'!N508="",0,'Importar Reservas'!N508))</f>
        <v/>
      </c>
      <c r="F516" s="78">
        <f>IF($A516="","",IFERROR(INDEX(Configurações!$C$5:$C$100,MATCH($C516,Configurações!$A$5:$A$100,0)),"Margem"))</f>
        <v/>
      </c>
      <c r="G516" s="78">
        <f>IF($A516="","",IFERROR(INDEX(Configurações!$B$5:$B$100,MATCH($C516,Configurações!$A$5:$A$100,0)),0))</f>
        <v/>
      </c>
      <c r="H516" s="78">
        <f>IF(OR($A516="",'Importar Reservas'!M508&lt;&gt;"Aprovado",$D516&lt;=0),"",MAX(0,IF($F516="Margem",$D516-$E516,$D516))*$G516)</f>
        <v/>
      </c>
    </row>
    <row r="517" ht="15" customHeight="1" s="79">
      <c r="A517" s="78">
        <f>IF('Importar Reservas'!A509="","",'Importar Reservas'!A509)</f>
        <v/>
      </c>
      <c r="B517" s="78">
        <f>IF($A517="","",'Importar Reservas'!B509)</f>
        <v/>
      </c>
      <c r="C517" s="78">
        <f>IF($A517="","",'Importar Reservas'!Z509)</f>
        <v/>
      </c>
      <c r="D517" s="78">
        <f>IF($A517="","",IF('Importar Reservas'!O509="",0,'Importar Reservas'!O509))</f>
        <v/>
      </c>
      <c r="E517" s="78">
        <f>IF($A517="","",IF('Importar Reservas'!N509="",0,'Importar Reservas'!N509))</f>
        <v/>
      </c>
      <c r="F517" s="78">
        <f>IF($A517="","",IFERROR(INDEX(Configurações!$C$5:$C$100,MATCH($C517,Configurações!$A$5:$A$100,0)),"Margem"))</f>
        <v/>
      </c>
      <c r="G517" s="78">
        <f>IF($A517="","",IFERROR(INDEX(Configurações!$B$5:$B$100,MATCH($C517,Configurações!$A$5:$A$100,0)),0))</f>
        <v/>
      </c>
      <c r="H517" s="78">
        <f>IF(OR($A517="",'Importar Reservas'!M509&lt;&gt;"Aprovado",$D517&lt;=0),"",MAX(0,IF($F517="Margem",$D517-$E517,$D517))*$G517)</f>
        <v/>
      </c>
    </row>
    <row r="518" ht="15" customHeight="1" s="79">
      <c r="A518" s="78">
        <f>IF('Importar Reservas'!A510="","",'Importar Reservas'!A510)</f>
        <v/>
      </c>
      <c r="B518" s="78">
        <f>IF($A518="","",'Importar Reservas'!B510)</f>
        <v/>
      </c>
      <c r="C518" s="78">
        <f>IF($A518="","",'Importar Reservas'!Z510)</f>
        <v/>
      </c>
      <c r="D518" s="78">
        <f>IF($A518="","",IF('Importar Reservas'!O510="",0,'Importar Reservas'!O510))</f>
        <v/>
      </c>
      <c r="E518" s="78">
        <f>IF($A518="","",IF('Importar Reservas'!N510="",0,'Importar Reservas'!N510))</f>
        <v/>
      </c>
      <c r="F518" s="78">
        <f>IF($A518="","",IFERROR(INDEX(Configurações!$C$5:$C$100,MATCH($C518,Configurações!$A$5:$A$100,0)),"Margem"))</f>
        <v/>
      </c>
      <c r="G518" s="78">
        <f>IF($A518="","",IFERROR(INDEX(Configurações!$B$5:$B$100,MATCH($C518,Configurações!$A$5:$A$100,0)),0))</f>
        <v/>
      </c>
      <c r="H518" s="78">
        <f>IF(OR($A518="",'Importar Reservas'!M510&lt;&gt;"Aprovado",$D518&lt;=0),"",MAX(0,IF($F518="Margem",$D518-$E518,$D518))*$G518)</f>
        <v/>
      </c>
    </row>
    <row r="519" ht="15" customHeight="1" s="79">
      <c r="A519" s="78">
        <f>IF('Importar Reservas'!A511="","",'Importar Reservas'!A511)</f>
        <v/>
      </c>
      <c r="B519" s="78">
        <f>IF($A519="","",'Importar Reservas'!B511)</f>
        <v/>
      </c>
      <c r="C519" s="78">
        <f>IF($A519="","",'Importar Reservas'!Z511)</f>
        <v/>
      </c>
      <c r="D519" s="78">
        <f>IF($A519="","",IF('Importar Reservas'!O511="",0,'Importar Reservas'!O511))</f>
        <v/>
      </c>
      <c r="E519" s="78">
        <f>IF($A519="","",IF('Importar Reservas'!N511="",0,'Importar Reservas'!N511))</f>
        <v/>
      </c>
      <c r="F519" s="78">
        <f>IF($A519="","",IFERROR(INDEX(Configurações!$C$5:$C$100,MATCH($C519,Configurações!$A$5:$A$100,0)),"Margem"))</f>
        <v/>
      </c>
      <c r="G519" s="78">
        <f>IF($A519="","",IFERROR(INDEX(Configurações!$B$5:$B$100,MATCH($C519,Configurações!$A$5:$A$100,0)),0))</f>
        <v/>
      </c>
      <c r="H519" s="78">
        <f>IF(OR($A519="",'Importar Reservas'!M511&lt;&gt;"Aprovado",$D519&lt;=0),"",MAX(0,IF($F519="Margem",$D519-$E519,$D519))*$G519)</f>
        <v/>
      </c>
    </row>
    <row r="520" ht="15" customHeight="1" s="79">
      <c r="A520" s="78">
        <f>IF('Importar Reservas'!A512="","",'Importar Reservas'!A512)</f>
        <v/>
      </c>
      <c r="B520" s="78">
        <f>IF($A520="","",'Importar Reservas'!B512)</f>
        <v/>
      </c>
      <c r="C520" s="78">
        <f>IF($A520="","",'Importar Reservas'!Z512)</f>
        <v/>
      </c>
      <c r="D520" s="78">
        <f>IF($A520="","",IF('Importar Reservas'!O512="",0,'Importar Reservas'!O512))</f>
        <v/>
      </c>
      <c r="E520" s="78">
        <f>IF($A520="","",IF('Importar Reservas'!N512="",0,'Importar Reservas'!N512))</f>
        <v/>
      </c>
      <c r="F520" s="78">
        <f>IF($A520="","",IFERROR(INDEX(Configurações!$C$5:$C$100,MATCH($C520,Configurações!$A$5:$A$100,0)),"Margem"))</f>
        <v/>
      </c>
      <c r="G520" s="78">
        <f>IF($A520="","",IFERROR(INDEX(Configurações!$B$5:$B$100,MATCH($C520,Configurações!$A$5:$A$100,0)),0))</f>
        <v/>
      </c>
      <c r="H520" s="78">
        <f>IF(OR($A520="",'Importar Reservas'!M512&lt;&gt;"Aprovado",$D520&lt;=0),"",MAX(0,IF($F520="Margem",$D520-$E520,$D520))*$G520)</f>
        <v/>
      </c>
    </row>
    <row r="521" ht="15" customHeight="1" s="79">
      <c r="A521" s="78">
        <f>IF('Importar Reservas'!A513="","",'Importar Reservas'!A513)</f>
        <v/>
      </c>
      <c r="B521" s="78">
        <f>IF($A521="","",'Importar Reservas'!B513)</f>
        <v/>
      </c>
      <c r="C521" s="78">
        <f>IF($A521="","",'Importar Reservas'!Z513)</f>
        <v/>
      </c>
      <c r="D521" s="78">
        <f>IF($A521="","",IF('Importar Reservas'!O513="",0,'Importar Reservas'!O513))</f>
        <v/>
      </c>
      <c r="E521" s="78">
        <f>IF($A521="","",IF('Importar Reservas'!N513="",0,'Importar Reservas'!N513))</f>
        <v/>
      </c>
      <c r="F521" s="78">
        <f>IF($A521="","",IFERROR(INDEX(Configurações!$C$5:$C$100,MATCH($C521,Configurações!$A$5:$A$100,0)),"Margem"))</f>
        <v/>
      </c>
      <c r="G521" s="78">
        <f>IF($A521="","",IFERROR(INDEX(Configurações!$B$5:$B$100,MATCH($C521,Configurações!$A$5:$A$100,0)),0))</f>
        <v/>
      </c>
      <c r="H521" s="78">
        <f>IF(OR($A521="",'Importar Reservas'!M513&lt;&gt;"Aprovado",$D521&lt;=0),"",MAX(0,IF($F521="Margem",$D521-$E521,$D521))*$G521)</f>
        <v/>
      </c>
    </row>
    <row r="522" ht="15" customHeight="1" s="79">
      <c r="A522" s="78">
        <f>IF('Importar Reservas'!A514="","",'Importar Reservas'!A514)</f>
        <v/>
      </c>
      <c r="B522" s="78">
        <f>IF($A522="","",'Importar Reservas'!B514)</f>
        <v/>
      </c>
      <c r="C522" s="78">
        <f>IF($A522="","",'Importar Reservas'!Z514)</f>
        <v/>
      </c>
      <c r="D522" s="78">
        <f>IF($A522="","",IF('Importar Reservas'!O514="",0,'Importar Reservas'!O514))</f>
        <v/>
      </c>
      <c r="E522" s="78">
        <f>IF($A522="","",IF('Importar Reservas'!N514="",0,'Importar Reservas'!N514))</f>
        <v/>
      </c>
      <c r="F522" s="78">
        <f>IF($A522="","",IFERROR(INDEX(Configurações!$C$5:$C$100,MATCH($C522,Configurações!$A$5:$A$100,0)),"Margem"))</f>
        <v/>
      </c>
      <c r="G522" s="78">
        <f>IF($A522="","",IFERROR(INDEX(Configurações!$B$5:$B$100,MATCH($C522,Configurações!$A$5:$A$100,0)),0))</f>
        <v/>
      </c>
      <c r="H522" s="78">
        <f>IF(OR($A522="",'Importar Reservas'!M514&lt;&gt;"Aprovado",$D522&lt;=0),"",MAX(0,IF($F522="Margem",$D522-$E522,$D522))*$G522)</f>
        <v/>
      </c>
    </row>
    <row r="523" ht="15" customHeight="1" s="79">
      <c r="A523" s="78">
        <f>IF('Importar Reservas'!A515="","",'Importar Reservas'!A515)</f>
        <v/>
      </c>
      <c r="B523" s="78">
        <f>IF($A523="","",'Importar Reservas'!B515)</f>
        <v/>
      </c>
      <c r="C523" s="78">
        <f>IF($A523="","",'Importar Reservas'!Z515)</f>
        <v/>
      </c>
      <c r="D523" s="78">
        <f>IF($A523="","",IF('Importar Reservas'!O515="",0,'Importar Reservas'!O515))</f>
        <v/>
      </c>
      <c r="E523" s="78">
        <f>IF($A523="","",IF('Importar Reservas'!N515="",0,'Importar Reservas'!N515))</f>
        <v/>
      </c>
      <c r="F523" s="78">
        <f>IF($A523="","",IFERROR(INDEX(Configurações!$C$5:$C$100,MATCH($C523,Configurações!$A$5:$A$100,0)),"Margem"))</f>
        <v/>
      </c>
      <c r="G523" s="78">
        <f>IF($A523="","",IFERROR(INDEX(Configurações!$B$5:$B$100,MATCH($C523,Configurações!$A$5:$A$100,0)),0))</f>
        <v/>
      </c>
      <c r="H523" s="78">
        <f>IF(OR($A523="",'Importar Reservas'!M515&lt;&gt;"Aprovado",$D523&lt;=0),"",MAX(0,IF($F523="Margem",$D523-$E523,$D523))*$G523)</f>
        <v/>
      </c>
    </row>
    <row r="524" ht="15" customHeight="1" s="79">
      <c r="A524" s="78">
        <f>IF('Importar Reservas'!A516="","",'Importar Reservas'!A516)</f>
        <v/>
      </c>
      <c r="B524" s="78">
        <f>IF($A524="","",'Importar Reservas'!B516)</f>
        <v/>
      </c>
      <c r="C524" s="78">
        <f>IF($A524="","",'Importar Reservas'!Z516)</f>
        <v/>
      </c>
      <c r="D524" s="78">
        <f>IF($A524="","",IF('Importar Reservas'!O516="",0,'Importar Reservas'!O516))</f>
        <v/>
      </c>
      <c r="E524" s="78">
        <f>IF($A524="","",IF('Importar Reservas'!N516="",0,'Importar Reservas'!N516))</f>
        <v/>
      </c>
      <c r="F524" s="78">
        <f>IF($A524="","",IFERROR(INDEX(Configurações!$C$5:$C$100,MATCH($C524,Configurações!$A$5:$A$100,0)),"Margem"))</f>
        <v/>
      </c>
      <c r="G524" s="78">
        <f>IF($A524="","",IFERROR(INDEX(Configurações!$B$5:$B$100,MATCH($C524,Configurações!$A$5:$A$100,0)),0))</f>
        <v/>
      </c>
      <c r="H524" s="78">
        <f>IF(OR($A524="",'Importar Reservas'!M516&lt;&gt;"Aprovado",$D524&lt;=0),"",MAX(0,IF($F524="Margem",$D524-$E524,$D524))*$G524)</f>
        <v/>
      </c>
    </row>
    <row r="525" ht="15" customHeight="1" s="79">
      <c r="A525" s="78">
        <f>IF('Importar Reservas'!A517="","",'Importar Reservas'!A517)</f>
        <v/>
      </c>
      <c r="B525" s="78">
        <f>IF($A525="","",'Importar Reservas'!B517)</f>
        <v/>
      </c>
      <c r="C525" s="78">
        <f>IF($A525="","",'Importar Reservas'!Z517)</f>
        <v/>
      </c>
      <c r="D525" s="78">
        <f>IF($A525="","",IF('Importar Reservas'!O517="",0,'Importar Reservas'!O517))</f>
        <v/>
      </c>
      <c r="E525" s="78">
        <f>IF($A525="","",IF('Importar Reservas'!N517="",0,'Importar Reservas'!N517))</f>
        <v/>
      </c>
      <c r="F525" s="78">
        <f>IF($A525="","",IFERROR(INDEX(Configurações!$C$5:$C$100,MATCH($C525,Configurações!$A$5:$A$100,0)),"Margem"))</f>
        <v/>
      </c>
      <c r="G525" s="78">
        <f>IF($A525="","",IFERROR(INDEX(Configurações!$B$5:$B$100,MATCH($C525,Configurações!$A$5:$A$100,0)),0))</f>
        <v/>
      </c>
      <c r="H525" s="78">
        <f>IF(OR($A525="",'Importar Reservas'!M517&lt;&gt;"Aprovado",$D525&lt;=0),"",MAX(0,IF($F525="Margem",$D525-$E525,$D525))*$G525)</f>
        <v/>
      </c>
    </row>
    <row r="526" ht="15" customHeight="1" s="79">
      <c r="A526" s="78">
        <f>IF('Importar Reservas'!A518="","",'Importar Reservas'!A518)</f>
        <v/>
      </c>
      <c r="B526" s="78">
        <f>IF($A526="","",'Importar Reservas'!B518)</f>
        <v/>
      </c>
      <c r="C526" s="78">
        <f>IF($A526="","",'Importar Reservas'!Z518)</f>
        <v/>
      </c>
      <c r="D526" s="78">
        <f>IF($A526="","",IF('Importar Reservas'!O518="",0,'Importar Reservas'!O518))</f>
        <v/>
      </c>
      <c r="E526" s="78">
        <f>IF($A526="","",IF('Importar Reservas'!N518="",0,'Importar Reservas'!N518))</f>
        <v/>
      </c>
      <c r="F526" s="78">
        <f>IF($A526="","",IFERROR(INDEX(Configurações!$C$5:$C$100,MATCH($C526,Configurações!$A$5:$A$100,0)),"Margem"))</f>
        <v/>
      </c>
      <c r="G526" s="78">
        <f>IF($A526="","",IFERROR(INDEX(Configurações!$B$5:$B$100,MATCH($C526,Configurações!$A$5:$A$100,0)),0))</f>
        <v/>
      </c>
      <c r="H526" s="78">
        <f>IF(OR($A526="",'Importar Reservas'!M518&lt;&gt;"Aprovado",$D526&lt;=0),"",MAX(0,IF($F526="Margem",$D526-$E526,$D526))*$G526)</f>
        <v/>
      </c>
    </row>
    <row r="527" ht="15" customHeight="1" s="79">
      <c r="A527" s="78">
        <f>IF('Importar Reservas'!A519="","",'Importar Reservas'!A519)</f>
        <v/>
      </c>
      <c r="B527" s="78">
        <f>IF($A527="","",'Importar Reservas'!B519)</f>
        <v/>
      </c>
      <c r="C527" s="78">
        <f>IF($A527="","",'Importar Reservas'!Z519)</f>
        <v/>
      </c>
      <c r="D527" s="78">
        <f>IF($A527="","",IF('Importar Reservas'!O519="",0,'Importar Reservas'!O519))</f>
        <v/>
      </c>
      <c r="E527" s="78">
        <f>IF($A527="","",IF('Importar Reservas'!N519="",0,'Importar Reservas'!N519))</f>
        <v/>
      </c>
      <c r="F527" s="78">
        <f>IF($A527="","",IFERROR(INDEX(Configurações!$C$5:$C$100,MATCH($C527,Configurações!$A$5:$A$100,0)),"Margem"))</f>
        <v/>
      </c>
      <c r="G527" s="78">
        <f>IF($A527="","",IFERROR(INDEX(Configurações!$B$5:$B$100,MATCH($C527,Configurações!$A$5:$A$100,0)),0))</f>
        <v/>
      </c>
      <c r="H527" s="78">
        <f>IF(OR($A527="",'Importar Reservas'!M519&lt;&gt;"Aprovado",$D527&lt;=0),"",MAX(0,IF($F527="Margem",$D527-$E527,$D527))*$G527)</f>
        <v/>
      </c>
    </row>
    <row r="528" ht="15" customHeight="1" s="79">
      <c r="A528" s="78">
        <f>IF('Importar Reservas'!A520="","",'Importar Reservas'!A520)</f>
        <v/>
      </c>
      <c r="B528" s="78">
        <f>IF($A528="","",'Importar Reservas'!B520)</f>
        <v/>
      </c>
      <c r="C528" s="78">
        <f>IF($A528="","",'Importar Reservas'!Z520)</f>
        <v/>
      </c>
      <c r="D528" s="78">
        <f>IF($A528="","",IF('Importar Reservas'!O520="",0,'Importar Reservas'!O520))</f>
        <v/>
      </c>
      <c r="E528" s="78">
        <f>IF($A528="","",IF('Importar Reservas'!N520="",0,'Importar Reservas'!N520))</f>
        <v/>
      </c>
      <c r="F528" s="78">
        <f>IF($A528="","",IFERROR(INDEX(Configurações!$C$5:$C$100,MATCH($C528,Configurações!$A$5:$A$100,0)),"Margem"))</f>
        <v/>
      </c>
      <c r="G528" s="78">
        <f>IF($A528="","",IFERROR(INDEX(Configurações!$B$5:$B$100,MATCH($C528,Configurações!$A$5:$A$100,0)),0))</f>
        <v/>
      </c>
      <c r="H528" s="78">
        <f>IF(OR($A528="",'Importar Reservas'!M520&lt;&gt;"Aprovado",$D528&lt;=0),"",MAX(0,IF($F528="Margem",$D528-$E528,$D528))*$G528)</f>
        <v/>
      </c>
    </row>
    <row r="529" ht="15" customHeight="1" s="79">
      <c r="A529" s="78">
        <f>IF('Importar Reservas'!A521="","",'Importar Reservas'!A521)</f>
        <v/>
      </c>
      <c r="B529" s="78">
        <f>IF($A529="","",'Importar Reservas'!B521)</f>
        <v/>
      </c>
      <c r="C529" s="78">
        <f>IF($A529="","",'Importar Reservas'!Z521)</f>
        <v/>
      </c>
      <c r="D529" s="78">
        <f>IF($A529="","",IF('Importar Reservas'!O521="",0,'Importar Reservas'!O521))</f>
        <v/>
      </c>
      <c r="E529" s="78">
        <f>IF($A529="","",IF('Importar Reservas'!N521="",0,'Importar Reservas'!N521))</f>
        <v/>
      </c>
      <c r="F529" s="78">
        <f>IF($A529="","",IFERROR(INDEX(Configurações!$C$5:$C$100,MATCH($C529,Configurações!$A$5:$A$100,0)),"Margem"))</f>
        <v/>
      </c>
      <c r="G529" s="78">
        <f>IF($A529="","",IFERROR(INDEX(Configurações!$B$5:$B$100,MATCH($C529,Configurações!$A$5:$A$100,0)),0))</f>
        <v/>
      </c>
      <c r="H529" s="78">
        <f>IF(OR($A529="",'Importar Reservas'!M521&lt;&gt;"Aprovado",$D529&lt;=0),"",MAX(0,IF($F529="Margem",$D529-$E529,$D529))*$G529)</f>
        <v/>
      </c>
    </row>
    <row r="530" ht="15" customHeight="1" s="79">
      <c r="A530" s="78">
        <f>IF('Importar Reservas'!A522="","",'Importar Reservas'!A522)</f>
        <v/>
      </c>
      <c r="B530" s="78">
        <f>IF($A530="","",'Importar Reservas'!B522)</f>
        <v/>
      </c>
      <c r="C530" s="78">
        <f>IF($A530="","",'Importar Reservas'!Z522)</f>
        <v/>
      </c>
      <c r="D530" s="78">
        <f>IF($A530="","",IF('Importar Reservas'!O522="",0,'Importar Reservas'!O522))</f>
        <v/>
      </c>
      <c r="E530" s="78">
        <f>IF($A530="","",IF('Importar Reservas'!N522="",0,'Importar Reservas'!N522))</f>
        <v/>
      </c>
      <c r="F530" s="78">
        <f>IF($A530="","",IFERROR(INDEX(Configurações!$C$5:$C$100,MATCH($C530,Configurações!$A$5:$A$100,0)),"Margem"))</f>
        <v/>
      </c>
      <c r="G530" s="78">
        <f>IF($A530="","",IFERROR(INDEX(Configurações!$B$5:$B$100,MATCH($C530,Configurações!$A$5:$A$100,0)),0))</f>
        <v/>
      </c>
      <c r="H530" s="78">
        <f>IF(OR($A530="",'Importar Reservas'!M522&lt;&gt;"Aprovado",$D530&lt;=0),"",MAX(0,IF($F530="Margem",$D530-$E530,$D530))*$G530)</f>
        <v/>
      </c>
    </row>
    <row r="531" ht="15" customHeight="1" s="79">
      <c r="A531" s="78">
        <f>IF('Importar Reservas'!A523="","",'Importar Reservas'!A523)</f>
        <v/>
      </c>
      <c r="B531" s="78">
        <f>IF($A531="","",'Importar Reservas'!B523)</f>
        <v/>
      </c>
      <c r="C531" s="78">
        <f>IF($A531="","",'Importar Reservas'!Z523)</f>
        <v/>
      </c>
      <c r="D531" s="78">
        <f>IF($A531="","",IF('Importar Reservas'!O523="",0,'Importar Reservas'!O523))</f>
        <v/>
      </c>
      <c r="E531" s="78">
        <f>IF($A531="","",IF('Importar Reservas'!N523="",0,'Importar Reservas'!N523))</f>
        <v/>
      </c>
      <c r="F531" s="78">
        <f>IF($A531="","",IFERROR(INDEX(Configurações!$C$5:$C$100,MATCH($C531,Configurações!$A$5:$A$100,0)),"Margem"))</f>
        <v/>
      </c>
      <c r="G531" s="78">
        <f>IF($A531="","",IFERROR(INDEX(Configurações!$B$5:$B$100,MATCH($C531,Configurações!$A$5:$A$100,0)),0))</f>
        <v/>
      </c>
      <c r="H531" s="78">
        <f>IF(OR($A531="",'Importar Reservas'!M523&lt;&gt;"Aprovado",$D531&lt;=0),"",MAX(0,IF($F531="Margem",$D531-$E531,$D531))*$G531)</f>
        <v/>
      </c>
    </row>
    <row r="532" ht="15" customHeight="1" s="79">
      <c r="A532" s="78">
        <f>IF('Importar Reservas'!A524="","",'Importar Reservas'!A524)</f>
        <v/>
      </c>
      <c r="B532" s="78">
        <f>IF($A532="","",'Importar Reservas'!B524)</f>
        <v/>
      </c>
      <c r="C532" s="78">
        <f>IF($A532="","",'Importar Reservas'!Z524)</f>
        <v/>
      </c>
      <c r="D532" s="78">
        <f>IF($A532="","",IF('Importar Reservas'!O524="",0,'Importar Reservas'!O524))</f>
        <v/>
      </c>
      <c r="E532" s="78">
        <f>IF($A532="","",IF('Importar Reservas'!N524="",0,'Importar Reservas'!N524))</f>
        <v/>
      </c>
      <c r="F532" s="78">
        <f>IF($A532="","",IFERROR(INDEX(Configurações!$C$5:$C$100,MATCH($C532,Configurações!$A$5:$A$100,0)),"Margem"))</f>
        <v/>
      </c>
      <c r="G532" s="78">
        <f>IF($A532="","",IFERROR(INDEX(Configurações!$B$5:$B$100,MATCH($C532,Configurações!$A$5:$A$100,0)),0))</f>
        <v/>
      </c>
      <c r="H532" s="78">
        <f>IF(OR($A532="",'Importar Reservas'!M524&lt;&gt;"Aprovado",$D532&lt;=0),"",MAX(0,IF($F532="Margem",$D532-$E532,$D532))*$G532)</f>
        <v/>
      </c>
    </row>
    <row r="533" ht="15" customHeight="1" s="79">
      <c r="A533" s="78">
        <f>IF('Importar Reservas'!A525="","",'Importar Reservas'!A525)</f>
        <v/>
      </c>
      <c r="B533" s="78">
        <f>IF($A533="","",'Importar Reservas'!B525)</f>
        <v/>
      </c>
      <c r="C533" s="78">
        <f>IF($A533="","",'Importar Reservas'!Z525)</f>
        <v/>
      </c>
      <c r="D533" s="78">
        <f>IF($A533="","",IF('Importar Reservas'!O525="",0,'Importar Reservas'!O525))</f>
        <v/>
      </c>
      <c r="E533" s="78">
        <f>IF($A533="","",IF('Importar Reservas'!N525="",0,'Importar Reservas'!N525))</f>
        <v/>
      </c>
      <c r="F533" s="78">
        <f>IF($A533="","",IFERROR(INDEX(Configurações!$C$5:$C$100,MATCH($C533,Configurações!$A$5:$A$100,0)),"Margem"))</f>
        <v/>
      </c>
      <c r="G533" s="78">
        <f>IF($A533="","",IFERROR(INDEX(Configurações!$B$5:$B$100,MATCH($C533,Configurações!$A$5:$A$100,0)),0))</f>
        <v/>
      </c>
      <c r="H533" s="78">
        <f>IF(OR($A533="",'Importar Reservas'!M525&lt;&gt;"Aprovado",$D533&lt;=0),"",MAX(0,IF($F533="Margem",$D533-$E533,$D533))*$G533)</f>
        <v/>
      </c>
    </row>
    <row r="534" ht="15" customHeight="1" s="79">
      <c r="A534" s="78">
        <f>IF('Importar Reservas'!A526="","",'Importar Reservas'!A526)</f>
        <v/>
      </c>
      <c r="B534" s="78">
        <f>IF($A534="","",'Importar Reservas'!B526)</f>
        <v/>
      </c>
      <c r="C534" s="78">
        <f>IF($A534="","",'Importar Reservas'!Z526)</f>
        <v/>
      </c>
      <c r="D534" s="78">
        <f>IF($A534="","",IF('Importar Reservas'!O526="",0,'Importar Reservas'!O526))</f>
        <v/>
      </c>
      <c r="E534" s="78">
        <f>IF($A534="","",IF('Importar Reservas'!N526="",0,'Importar Reservas'!N526))</f>
        <v/>
      </c>
      <c r="F534" s="78">
        <f>IF($A534="","",IFERROR(INDEX(Configurações!$C$5:$C$100,MATCH($C534,Configurações!$A$5:$A$100,0)),"Margem"))</f>
        <v/>
      </c>
      <c r="G534" s="78">
        <f>IF($A534="","",IFERROR(INDEX(Configurações!$B$5:$B$100,MATCH($C534,Configurações!$A$5:$A$100,0)),0))</f>
        <v/>
      </c>
      <c r="H534" s="78">
        <f>IF(OR($A534="",'Importar Reservas'!M526&lt;&gt;"Aprovado",$D534&lt;=0),"",MAX(0,IF($F534="Margem",$D534-$E534,$D534))*$G534)</f>
        <v/>
      </c>
    </row>
    <row r="535" ht="15" customHeight="1" s="79">
      <c r="A535" s="78">
        <f>IF('Importar Reservas'!A527="","",'Importar Reservas'!A527)</f>
        <v/>
      </c>
      <c r="B535" s="78">
        <f>IF($A535="","",'Importar Reservas'!B527)</f>
        <v/>
      </c>
      <c r="C535" s="78">
        <f>IF($A535="","",'Importar Reservas'!Z527)</f>
        <v/>
      </c>
      <c r="D535" s="78">
        <f>IF($A535="","",IF('Importar Reservas'!O527="",0,'Importar Reservas'!O527))</f>
        <v/>
      </c>
      <c r="E535" s="78">
        <f>IF($A535="","",IF('Importar Reservas'!N527="",0,'Importar Reservas'!N527))</f>
        <v/>
      </c>
      <c r="F535" s="78">
        <f>IF($A535="","",IFERROR(INDEX(Configurações!$C$5:$C$100,MATCH($C535,Configurações!$A$5:$A$100,0)),"Margem"))</f>
        <v/>
      </c>
      <c r="G535" s="78">
        <f>IF($A535="","",IFERROR(INDEX(Configurações!$B$5:$B$100,MATCH($C535,Configurações!$A$5:$A$100,0)),0))</f>
        <v/>
      </c>
      <c r="H535" s="78">
        <f>IF(OR($A535="",'Importar Reservas'!M527&lt;&gt;"Aprovado",$D535&lt;=0),"",MAX(0,IF($F535="Margem",$D535-$E535,$D535))*$G535)</f>
        <v/>
      </c>
    </row>
    <row r="536" ht="15" customHeight="1" s="79">
      <c r="A536" s="78">
        <f>IF('Importar Reservas'!A528="","",'Importar Reservas'!A528)</f>
        <v/>
      </c>
      <c r="B536" s="78">
        <f>IF($A536="","",'Importar Reservas'!B528)</f>
        <v/>
      </c>
      <c r="C536" s="78">
        <f>IF($A536="","",'Importar Reservas'!Z528)</f>
        <v/>
      </c>
      <c r="D536" s="78">
        <f>IF($A536="","",IF('Importar Reservas'!O528="",0,'Importar Reservas'!O528))</f>
        <v/>
      </c>
      <c r="E536" s="78">
        <f>IF($A536="","",IF('Importar Reservas'!N528="",0,'Importar Reservas'!N528))</f>
        <v/>
      </c>
      <c r="F536" s="78">
        <f>IF($A536="","",IFERROR(INDEX(Configurações!$C$5:$C$100,MATCH($C536,Configurações!$A$5:$A$100,0)),"Margem"))</f>
        <v/>
      </c>
      <c r="G536" s="78">
        <f>IF($A536="","",IFERROR(INDEX(Configurações!$B$5:$B$100,MATCH($C536,Configurações!$A$5:$A$100,0)),0))</f>
        <v/>
      </c>
      <c r="H536" s="78">
        <f>IF(OR($A536="",'Importar Reservas'!M528&lt;&gt;"Aprovado",$D536&lt;=0),"",MAX(0,IF($F536="Margem",$D536-$E536,$D536))*$G536)</f>
        <v/>
      </c>
    </row>
    <row r="537" ht="15" customHeight="1" s="79">
      <c r="A537" s="78">
        <f>IF('Importar Reservas'!A529="","",'Importar Reservas'!A529)</f>
        <v/>
      </c>
      <c r="B537" s="78">
        <f>IF($A537="","",'Importar Reservas'!B529)</f>
        <v/>
      </c>
      <c r="C537" s="78">
        <f>IF($A537="","",'Importar Reservas'!Z529)</f>
        <v/>
      </c>
      <c r="D537" s="78">
        <f>IF($A537="","",IF('Importar Reservas'!O529="",0,'Importar Reservas'!O529))</f>
        <v/>
      </c>
      <c r="E537" s="78">
        <f>IF($A537="","",IF('Importar Reservas'!N529="",0,'Importar Reservas'!N529))</f>
        <v/>
      </c>
      <c r="F537" s="78">
        <f>IF($A537="","",IFERROR(INDEX(Configurações!$C$5:$C$100,MATCH($C537,Configurações!$A$5:$A$100,0)),"Margem"))</f>
        <v/>
      </c>
      <c r="G537" s="78">
        <f>IF($A537="","",IFERROR(INDEX(Configurações!$B$5:$B$100,MATCH($C537,Configurações!$A$5:$A$100,0)),0))</f>
        <v/>
      </c>
      <c r="H537" s="78">
        <f>IF(OR($A537="",'Importar Reservas'!M529&lt;&gt;"Aprovado",$D537&lt;=0),"",MAX(0,IF($F537="Margem",$D537-$E537,$D537))*$G537)</f>
        <v/>
      </c>
    </row>
    <row r="538" ht="15" customHeight="1" s="79">
      <c r="A538" s="78">
        <f>IF('Importar Reservas'!A530="","",'Importar Reservas'!A530)</f>
        <v/>
      </c>
      <c r="B538" s="78">
        <f>IF($A538="","",'Importar Reservas'!B530)</f>
        <v/>
      </c>
      <c r="C538" s="78">
        <f>IF($A538="","",'Importar Reservas'!Z530)</f>
        <v/>
      </c>
      <c r="D538" s="78">
        <f>IF($A538="","",IF('Importar Reservas'!O530="",0,'Importar Reservas'!O530))</f>
        <v/>
      </c>
      <c r="E538" s="78">
        <f>IF($A538="","",IF('Importar Reservas'!N530="",0,'Importar Reservas'!N530))</f>
        <v/>
      </c>
      <c r="F538" s="78">
        <f>IF($A538="","",IFERROR(INDEX(Configurações!$C$5:$C$100,MATCH($C538,Configurações!$A$5:$A$100,0)),"Margem"))</f>
        <v/>
      </c>
      <c r="G538" s="78">
        <f>IF($A538="","",IFERROR(INDEX(Configurações!$B$5:$B$100,MATCH($C538,Configurações!$A$5:$A$100,0)),0))</f>
        <v/>
      </c>
      <c r="H538" s="78">
        <f>IF(OR($A538="",'Importar Reservas'!M530&lt;&gt;"Aprovado",$D538&lt;=0),"",MAX(0,IF($F538="Margem",$D538-$E538,$D538))*$G538)</f>
        <v/>
      </c>
    </row>
    <row r="539" ht="15" customHeight="1" s="79">
      <c r="A539" s="78">
        <f>IF('Importar Reservas'!A531="","",'Importar Reservas'!A531)</f>
        <v/>
      </c>
      <c r="B539" s="78">
        <f>IF($A539="","",'Importar Reservas'!B531)</f>
        <v/>
      </c>
      <c r="C539" s="78">
        <f>IF($A539="","",'Importar Reservas'!Z531)</f>
        <v/>
      </c>
      <c r="D539" s="78">
        <f>IF($A539="","",IF('Importar Reservas'!O531="",0,'Importar Reservas'!O531))</f>
        <v/>
      </c>
      <c r="E539" s="78">
        <f>IF($A539="","",IF('Importar Reservas'!N531="",0,'Importar Reservas'!N531))</f>
        <v/>
      </c>
      <c r="F539" s="78">
        <f>IF($A539="","",IFERROR(INDEX(Configurações!$C$5:$C$100,MATCH($C539,Configurações!$A$5:$A$100,0)),"Margem"))</f>
        <v/>
      </c>
      <c r="G539" s="78">
        <f>IF($A539="","",IFERROR(INDEX(Configurações!$B$5:$B$100,MATCH($C539,Configurações!$A$5:$A$100,0)),0))</f>
        <v/>
      </c>
      <c r="H539" s="78">
        <f>IF(OR($A539="",'Importar Reservas'!M531&lt;&gt;"Aprovado",$D539&lt;=0),"",MAX(0,IF($F539="Margem",$D539-$E539,$D539))*$G539)</f>
        <v/>
      </c>
    </row>
    <row r="540" ht="15" customHeight="1" s="79">
      <c r="A540" s="78">
        <f>IF('Importar Reservas'!A532="","",'Importar Reservas'!A532)</f>
        <v/>
      </c>
      <c r="B540" s="78">
        <f>IF($A540="","",'Importar Reservas'!B532)</f>
        <v/>
      </c>
      <c r="C540" s="78">
        <f>IF($A540="","",'Importar Reservas'!Z532)</f>
        <v/>
      </c>
      <c r="D540" s="78">
        <f>IF($A540="","",IF('Importar Reservas'!O532="",0,'Importar Reservas'!O532))</f>
        <v/>
      </c>
      <c r="E540" s="78">
        <f>IF($A540="","",IF('Importar Reservas'!N532="",0,'Importar Reservas'!N532))</f>
        <v/>
      </c>
      <c r="F540" s="78">
        <f>IF($A540="","",IFERROR(INDEX(Configurações!$C$5:$C$100,MATCH($C540,Configurações!$A$5:$A$100,0)),"Margem"))</f>
        <v/>
      </c>
      <c r="G540" s="78">
        <f>IF($A540="","",IFERROR(INDEX(Configurações!$B$5:$B$100,MATCH($C540,Configurações!$A$5:$A$100,0)),0))</f>
        <v/>
      </c>
      <c r="H540" s="78">
        <f>IF(OR($A540="",'Importar Reservas'!M532&lt;&gt;"Aprovado",$D540&lt;=0),"",MAX(0,IF($F540="Margem",$D540-$E540,$D540))*$G540)</f>
        <v/>
      </c>
    </row>
    <row r="541" ht="15" customHeight="1" s="79">
      <c r="A541" s="78">
        <f>IF('Importar Reservas'!A533="","",'Importar Reservas'!A533)</f>
        <v/>
      </c>
      <c r="B541" s="78">
        <f>IF($A541="","",'Importar Reservas'!B533)</f>
        <v/>
      </c>
      <c r="C541" s="78">
        <f>IF($A541="","",'Importar Reservas'!Z533)</f>
        <v/>
      </c>
      <c r="D541" s="78">
        <f>IF($A541="","",IF('Importar Reservas'!O533="",0,'Importar Reservas'!O533))</f>
        <v/>
      </c>
      <c r="E541" s="78">
        <f>IF($A541="","",IF('Importar Reservas'!N533="",0,'Importar Reservas'!N533))</f>
        <v/>
      </c>
      <c r="F541" s="78">
        <f>IF($A541="","",IFERROR(INDEX(Configurações!$C$5:$C$100,MATCH($C541,Configurações!$A$5:$A$100,0)),"Margem"))</f>
        <v/>
      </c>
      <c r="G541" s="78">
        <f>IF($A541="","",IFERROR(INDEX(Configurações!$B$5:$B$100,MATCH($C541,Configurações!$A$5:$A$100,0)),0))</f>
        <v/>
      </c>
      <c r="H541" s="78">
        <f>IF(OR($A541="",'Importar Reservas'!M533&lt;&gt;"Aprovado",$D541&lt;=0),"",MAX(0,IF($F541="Margem",$D541-$E541,$D541))*$G541)</f>
        <v/>
      </c>
    </row>
    <row r="542" ht="15" customHeight="1" s="79">
      <c r="A542" s="78">
        <f>IF('Importar Reservas'!A534="","",'Importar Reservas'!A534)</f>
        <v/>
      </c>
      <c r="B542" s="78">
        <f>IF($A542="","",'Importar Reservas'!B534)</f>
        <v/>
      </c>
      <c r="C542" s="78">
        <f>IF($A542="","",'Importar Reservas'!Z534)</f>
        <v/>
      </c>
      <c r="D542" s="78">
        <f>IF($A542="","",IF('Importar Reservas'!O534="",0,'Importar Reservas'!O534))</f>
        <v/>
      </c>
      <c r="E542" s="78">
        <f>IF($A542="","",IF('Importar Reservas'!N534="",0,'Importar Reservas'!N534))</f>
        <v/>
      </c>
      <c r="F542" s="78">
        <f>IF($A542="","",IFERROR(INDEX(Configurações!$C$5:$C$100,MATCH($C542,Configurações!$A$5:$A$100,0)),"Margem"))</f>
        <v/>
      </c>
      <c r="G542" s="78">
        <f>IF($A542="","",IFERROR(INDEX(Configurações!$B$5:$B$100,MATCH($C542,Configurações!$A$5:$A$100,0)),0))</f>
        <v/>
      </c>
      <c r="H542" s="78">
        <f>IF(OR($A542="",'Importar Reservas'!M534&lt;&gt;"Aprovado",$D542&lt;=0),"",MAX(0,IF($F542="Margem",$D542-$E542,$D542))*$G542)</f>
        <v/>
      </c>
    </row>
    <row r="543" ht="15" customHeight="1" s="79">
      <c r="A543" s="78">
        <f>IF('Importar Reservas'!A535="","",'Importar Reservas'!A535)</f>
        <v/>
      </c>
      <c r="B543" s="78">
        <f>IF($A543="","",'Importar Reservas'!B535)</f>
        <v/>
      </c>
      <c r="C543" s="78">
        <f>IF($A543="","",'Importar Reservas'!Z535)</f>
        <v/>
      </c>
      <c r="D543" s="78">
        <f>IF($A543="","",IF('Importar Reservas'!O535="",0,'Importar Reservas'!O535))</f>
        <v/>
      </c>
      <c r="E543" s="78">
        <f>IF($A543="","",IF('Importar Reservas'!N535="",0,'Importar Reservas'!N535))</f>
        <v/>
      </c>
      <c r="F543" s="78">
        <f>IF($A543="","",IFERROR(INDEX(Configurações!$C$5:$C$100,MATCH($C543,Configurações!$A$5:$A$100,0)),"Margem"))</f>
        <v/>
      </c>
      <c r="G543" s="78">
        <f>IF($A543="","",IFERROR(INDEX(Configurações!$B$5:$B$100,MATCH($C543,Configurações!$A$5:$A$100,0)),0))</f>
        <v/>
      </c>
      <c r="H543" s="78">
        <f>IF(OR($A543="",'Importar Reservas'!M535&lt;&gt;"Aprovado",$D543&lt;=0),"",MAX(0,IF($F543="Margem",$D543-$E543,$D543))*$G543)</f>
        <v/>
      </c>
    </row>
    <row r="544" ht="15" customHeight="1" s="79">
      <c r="A544" s="78">
        <f>IF('Importar Reservas'!A536="","",'Importar Reservas'!A536)</f>
        <v/>
      </c>
      <c r="B544" s="78">
        <f>IF($A544="","",'Importar Reservas'!B536)</f>
        <v/>
      </c>
      <c r="C544" s="78">
        <f>IF($A544="","",'Importar Reservas'!Z536)</f>
        <v/>
      </c>
      <c r="D544" s="78">
        <f>IF($A544="","",IF('Importar Reservas'!O536="",0,'Importar Reservas'!O536))</f>
        <v/>
      </c>
      <c r="E544" s="78">
        <f>IF($A544="","",IF('Importar Reservas'!N536="",0,'Importar Reservas'!N536))</f>
        <v/>
      </c>
      <c r="F544" s="78">
        <f>IF($A544="","",IFERROR(INDEX(Configurações!$C$5:$C$100,MATCH($C544,Configurações!$A$5:$A$100,0)),"Margem"))</f>
        <v/>
      </c>
      <c r="G544" s="78">
        <f>IF($A544="","",IFERROR(INDEX(Configurações!$B$5:$B$100,MATCH($C544,Configurações!$A$5:$A$100,0)),0))</f>
        <v/>
      </c>
      <c r="H544" s="78">
        <f>IF(OR($A544="",'Importar Reservas'!M536&lt;&gt;"Aprovado",$D544&lt;=0),"",MAX(0,IF($F544="Margem",$D544-$E544,$D544))*$G544)</f>
        <v/>
      </c>
    </row>
    <row r="545" ht="15" customHeight="1" s="79">
      <c r="A545" s="78">
        <f>IF('Importar Reservas'!A537="","",'Importar Reservas'!A537)</f>
        <v/>
      </c>
      <c r="B545" s="78">
        <f>IF($A545="","",'Importar Reservas'!B537)</f>
        <v/>
      </c>
      <c r="C545" s="78">
        <f>IF($A545="","",'Importar Reservas'!Z537)</f>
        <v/>
      </c>
      <c r="D545" s="78">
        <f>IF($A545="","",IF('Importar Reservas'!O537="",0,'Importar Reservas'!O537))</f>
        <v/>
      </c>
      <c r="E545" s="78">
        <f>IF($A545="","",IF('Importar Reservas'!N537="",0,'Importar Reservas'!N537))</f>
        <v/>
      </c>
      <c r="F545" s="78">
        <f>IF($A545="","",IFERROR(INDEX(Configurações!$C$5:$C$100,MATCH($C545,Configurações!$A$5:$A$100,0)),"Margem"))</f>
        <v/>
      </c>
      <c r="G545" s="78">
        <f>IF($A545="","",IFERROR(INDEX(Configurações!$B$5:$B$100,MATCH($C545,Configurações!$A$5:$A$100,0)),0))</f>
        <v/>
      </c>
      <c r="H545" s="78">
        <f>IF(OR($A545="",'Importar Reservas'!M537&lt;&gt;"Aprovado",$D545&lt;=0),"",MAX(0,IF($F545="Margem",$D545-$E545,$D545))*$G545)</f>
        <v/>
      </c>
    </row>
    <row r="546" ht="15" customHeight="1" s="79">
      <c r="A546" s="78">
        <f>IF('Importar Reservas'!A538="","",'Importar Reservas'!A538)</f>
        <v/>
      </c>
      <c r="B546" s="78">
        <f>IF($A546="","",'Importar Reservas'!B538)</f>
        <v/>
      </c>
      <c r="C546" s="78">
        <f>IF($A546="","",'Importar Reservas'!Z538)</f>
        <v/>
      </c>
      <c r="D546" s="78">
        <f>IF($A546="","",IF('Importar Reservas'!O538="",0,'Importar Reservas'!O538))</f>
        <v/>
      </c>
      <c r="E546" s="78">
        <f>IF($A546="","",IF('Importar Reservas'!N538="",0,'Importar Reservas'!N538))</f>
        <v/>
      </c>
      <c r="F546" s="78">
        <f>IF($A546="","",IFERROR(INDEX(Configurações!$C$5:$C$100,MATCH($C546,Configurações!$A$5:$A$100,0)),"Margem"))</f>
        <v/>
      </c>
      <c r="G546" s="78">
        <f>IF($A546="","",IFERROR(INDEX(Configurações!$B$5:$B$100,MATCH($C546,Configurações!$A$5:$A$100,0)),0))</f>
        <v/>
      </c>
      <c r="H546" s="78">
        <f>IF(OR($A546="",'Importar Reservas'!M538&lt;&gt;"Aprovado",$D546&lt;=0),"",MAX(0,IF($F546="Margem",$D546-$E546,$D546))*$G546)</f>
        <v/>
      </c>
    </row>
    <row r="547" ht="15" customHeight="1" s="79">
      <c r="A547" s="78">
        <f>IF('Importar Reservas'!A539="","",'Importar Reservas'!A539)</f>
        <v/>
      </c>
      <c r="B547" s="78">
        <f>IF($A547="","",'Importar Reservas'!B539)</f>
        <v/>
      </c>
      <c r="C547" s="78">
        <f>IF($A547="","",'Importar Reservas'!Z539)</f>
        <v/>
      </c>
      <c r="D547" s="78">
        <f>IF($A547="","",IF('Importar Reservas'!O539="",0,'Importar Reservas'!O539))</f>
        <v/>
      </c>
      <c r="E547" s="78">
        <f>IF($A547="","",IF('Importar Reservas'!N539="",0,'Importar Reservas'!N539))</f>
        <v/>
      </c>
      <c r="F547" s="78">
        <f>IF($A547="","",IFERROR(INDEX(Configurações!$C$5:$C$100,MATCH($C547,Configurações!$A$5:$A$100,0)),"Margem"))</f>
        <v/>
      </c>
      <c r="G547" s="78">
        <f>IF($A547="","",IFERROR(INDEX(Configurações!$B$5:$B$100,MATCH($C547,Configurações!$A$5:$A$100,0)),0))</f>
        <v/>
      </c>
      <c r="H547" s="78">
        <f>IF(OR($A547="",'Importar Reservas'!M539&lt;&gt;"Aprovado",$D547&lt;=0),"",MAX(0,IF($F547="Margem",$D547-$E547,$D547))*$G547)</f>
        <v/>
      </c>
    </row>
    <row r="548" ht="15" customHeight="1" s="79">
      <c r="A548" s="78">
        <f>IF('Importar Reservas'!A540="","",'Importar Reservas'!A540)</f>
        <v/>
      </c>
      <c r="B548" s="78">
        <f>IF($A548="","",'Importar Reservas'!B540)</f>
        <v/>
      </c>
      <c r="C548" s="78">
        <f>IF($A548="","",'Importar Reservas'!Z540)</f>
        <v/>
      </c>
      <c r="D548" s="78">
        <f>IF($A548="","",IF('Importar Reservas'!O540="",0,'Importar Reservas'!O540))</f>
        <v/>
      </c>
      <c r="E548" s="78">
        <f>IF($A548="","",IF('Importar Reservas'!N540="",0,'Importar Reservas'!N540))</f>
        <v/>
      </c>
      <c r="F548" s="78">
        <f>IF($A548="","",IFERROR(INDEX(Configurações!$C$5:$C$100,MATCH($C548,Configurações!$A$5:$A$100,0)),"Margem"))</f>
        <v/>
      </c>
      <c r="G548" s="78">
        <f>IF($A548="","",IFERROR(INDEX(Configurações!$B$5:$B$100,MATCH($C548,Configurações!$A$5:$A$100,0)),0))</f>
        <v/>
      </c>
      <c r="H548" s="78">
        <f>IF(OR($A548="",'Importar Reservas'!M540&lt;&gt;"Aprovado",$D548&lt;=0),"",MAX(0,IF($F548="Margem",$D548-$E548,$D548))*$G548)</f>
        <v/>
      </c>
    </row>
    <row r="549" ht="15" customHeight="1" s="79">
      <c r="A549" s="78">
        <f>IF('Importar Reservas'!A541="","",'Importar Reservas'!A541)</f>
        <v/>
      </c>
      <c r="B549" s="78">
        <f>IF($A549="","",'Importar Reservas'!B541)</f>
        <v/>
      </c>
      <c r="C549" s="78">
        <f>IF($A549="","",'Importar Reservas'!Z541)</f>
        <v/>
      </c>
      <c r="D549" s="78">
        <f>IF($A549="","",IF('Importar Reservas'!O541="",0,'Importar Reservas'!O541))</f>
        <v/>
      </c>
      <c r="E549" s="78">
        <f>IF($A549="","",IF('Importar Reservas'!N541="",0,'Importar Reservas'!N541))</f>
        <v/>
      </c>
      <c r="F549" s="78">
        <f>IF($A549="","",IFERROR(INDEX(Configurações!$C$5:$C$100,MATCH($C549,Configurações!$A$5:$A$100,0)),"Margem"))</f>
        <v/>
      </c>
      <c r="G549" s="78">
        <f>IF($A549="","",IFERROR(INDEX(Configurações!$B$5:$B$100,MATCH($C549,Configurações!$A$5:$A$100,0)),0))</f>
        <v/>
      </c>
      <c r="H549" s="78">
        <f>IF(OR($A549="",'Importar Reservas'!M541&lt;&gt;"Aprovado",$D549&lt;=0),"",MAX(0,IF($F549="Margem",$D549-$E549,$D549))*$G549)</f>
        <v/>
      </c>
    </row>
    <row r="550" ht="15" customHeight="1" s="79">
      <c r="A550" s="78">
        <f>IF('Importar Reservas'!A542="","",'Importar Reservas'!A542)</f>
        <v/>
      </c>
      <c r="B550" s="78">
        <f>IF($A550="","",'Importar Reservas'!B542)</f>
        <v/>
      </c>
      <c r="C550" s="78">
        <f>IF($A550="","",'Importar Reservas'!Z542)</f>
        <v/>
      </c>
      <c r="D550" s="78">
        <f>IF($A550="","",IF('Importar Reservas'!O542="",0,'Importar Reservas'!O542))</f>
        <v/>
      </c>
      <c r="E550" s="78">
        <f>IF($A550="","",IF('Importar Reservas'!N542="",0,'Importar Reservas'!N542))</f>
        <v/>
      </c>
      <c r="F550" s="78">
        <f>IF($A550="","",IFERROR(INDEX(Configurações!$C$5:$C$100,MATCH($C550,Configurações!$A$5:$A$100,0)),"Margem"))</f>
        <v/>
      </c>
      <c r="G550" s="78">
        <f>IF($A550="","",IFERROR(INDEX(Configurações!$B$5:$B$100,MATCH($C550,Configurações!$A$5:$A$100,0)),0))</f>
        <v/>
      </c>
      <c r="H550" s="78">
        <f>IF(OR($A550="",'Importar Reservas'!M542&lt;&gt;"Aprovado",$D550&lt;=0),"",MAX(0,IF($F550="Margem",$D550-$E550,$D550))*$G550)</f>
        <v/>
      </c>
    </row>
    <row r="551" ht="15" customHeight="1" s="79">
      <c r="A551" s="78">
        <f>IF('Importar Reservas'!A543="","",'Importar Reservas'!A543)</f>
        <v/>
      </c>
      <c r="B551" s="78">
        <f>IF($A551="","",'Importar Reservas'!B543)</f>
        <v/>
      </c>
      <c r="C551" s="78">
        <f>IF($A551="","",'Importar Reservas'!Z543)</f>
        <v/>
      </c>
      <c r="D551" s="78">
        <f>IF($A551="","",IF('Importar Reservas'!O543="",0,'Importar Reservas'!O543))</f>
        <v/>
      </c>
      <c r="E551" s="78">
        <f>IF($A551="","",IF('Importar Reservas'!N543="",0,'Importar Reservas'!N543))</f>
        <v/>
      </c>
      <c r="F551" s="78">
        <f>IF($A551="","",IFERROR(INDEX(Configurações!$C$5:$C$100,MATCH($C551,Configurações!$A$5:$A$100,0)),"Margem"))</f>
        <v/>
      </c>
      <c r="G551" s="78">
        <f>IF($A551="","",IFERROR(INDEX(Configurações!$B$5:$B$100,MATCH($C551,Configurações!$A$5:$A$100,0)),0))</f>
        <v/>
      </c>
      <c r="H551" s="78">
        <f>IF(OR($A551="",'Importar Reservas'!M543&lt;&gt;"Aprovado",$D551&lt;=0),"",MAX(0,IF($F551="Margem",$D551-$E551,$D551))*$G551)</f>
        <v/>
      </c>
    </row>
    <row r="552" ht="15" customHeight="1" s="79">
      <c r="A552" s="78">
        <f>IF('Importar Reservas'!A544="","",'Importar Reservas'!A544)</f>
        <v/>
      </c>
      <c r="B552" s="78">
        <f>IF($A552="","",'Importar Reservas'!B544)</f>
        <v/>
      </c>
      <c r="C552" s="78">
        <f>IF($A552="","",'Importar Reservas'!Z544)</f>
        <v/>
      </c>
      <c r="D552" s="78">
        <f>IF($A552="","",IF('Importar Reservas'!O544="",0,'Importar Reservas'!O544))</f>
        <v/>
      </c>
      <c r="E552" s="78">
        <f>IF($A552="","",IF('Importar Reservas'!N544="",0,'Importar Reservas'!N544))</f>
        <v/>
      </c>
      <c r="F552" s="78">
        <f>IF($A552="","",IFERROR(INDEX(Configurações!$C$5:$C$100,MATCH($C552,Configurações!$A$5:$A$100,0)),"Margem"))</f>
        <v/>
      </c>
      <c r="G552" s="78">
        <f>IF($A552="","",IFERROR(INDEX(Configurações!$B$5:$B$100,MATCH($C552,Configurações!$A$5:$A$100,0)),0))</f>
        <v/>
      </c>
      <c r="H552" s="78">
        <f>IF(OR($A552="",'Importar Reservas'!M544&lt;&gt;"Aprovado",$D552&lt;=0),"",MAX(0,IF($F552="Margem",$D552-$E552,$D552))*$G552)</f>
        <v/>
      </c>
    </row>
    <row r="553" ht="15" customHeight="1" s="79">
      <c r="A553" s="78">
        <f>IF('Importar Reservas'!A545="","",'Importar Reservas'!A545)</f>
        <v/>
      </c>
      <c r="B553" s="78">
        <f>IF($A553="","",'Importar Reservas'!B545)</f>
        <v/>
      </c>
      <c r="C553" s="78">
        <f>IF($A553="","",'Importar Reservas'!Z545)</f>
        <v/>
      </c>
      <c r="D553" s="78">
        <f>IF($A553="","",IF('Importar Reservas'!O545="",0,'Importar Reservas'!O545))</f>
        <v/>
      </c>
      <c r="E553" s="78">
        <f>IF($A553="","",IF('Importar Reservas'!N545="",0,'Importar Reservas'!N545))</f>
        <v/>
      </c>
      <c r="F553" s="78">
        <f>IF($A553="","",IFERROR(INDEX(Configurações!$C$5:$C$100,MATCH($C553,Configurações!$A$5:$A$100,0)),"Margem"))</f>
        <v/>
      </c>
      <c r="G553" s="78">
        <f>IF($A553="","",IFERROR(INDEX(Configurações!$B$5:$B$100,MATCH($C553,Configurações!$A$5:$A$100,0)),0))</f>
        <v/>
      </c>
      <c r="H553" s="78">
        <f>IF(OR($A553="",'Importar Reservas'!M545&lt;&gt;"Aprovado",$D553&lt;=0),"",MAX(0,IF($F553="Margem",$D553-$E553,$D553))*$G553)</f>
        <v/>
      </c>
    </row>
    <row r="554" ht="15" customHeight="1" s="79">
      <c r="A554" s="78">
        <f>IF('Importar Reservas'!A546="","",'Importar Reservas'!A546)</f>
        <v/>
      </c>
      <c r="B554" s="78">
        <f>IF($A554="","",'Importar Reservas'!B546)</f>
        <v/>
      </c>
      <c r="C554" s="78">
        <f>IF($A554="","",'Importar Reservas'!Z546)</f>
        <v/>
      </c>
      <c r="D554" s="78">
        <f>IF($A554="","",IF('Importar Reservas'!O546="",0,'Importar Reservas'!O546))</f>
        <v/>
      </c>
      <c r="E554" s="78">
        <f>IF($A554="","",IF('Importar Reservas'!N546="",0,'Importar Reservas'!N546))</f>
        <v/>
      </c>
      <c r="F554" s="78">
        <f>IF($A554="","",IFERROR(INDEX(Configurações!$C$5:$C$100,MATCH($C554,Configurações!$A$5:$A$100,0)),"Margem"))</f>
        <v/>
      </c>
      <c r="G554" s="78">
        <f>IF($A554="","",IFERROR(INDEX(Configurações!$B$5:$B$100,MATCH($C554,Configurações!$A$5:$A$100,0)),0))</f>
        <v/>
      </c>
      <c r="H554" s="78">
        <f>IF(OR($A554="",'Importar Reservas'!M546&lt;&gt;"Aprovado",$D554&lt;=0),"",MAX(0,IF($F554="Margem",$D554-$E554,$D554))*$G554)</f>
        <v/>
      </c>
    </row>
    <row r="555" ht="15" customHeight="1" s="79">
      <c r="A555" s="78">
        <f>IF('Importar Reservas'!A547="","",'Importar Reservas'!A547)</f>
        <v/>
      </c>
      <c r="B555" s="78">
        <f>IF($A555="","",'Importar Reservas'!B547)</f>
        <v/>
      </c>
      <c r="C555" s="78">
        <f>IF($A555="","",'Importar Reservas'!Z547)</f>
        <v/>
      </c>
      <c r="D555" s="78">
        <f>IF($A555="","",IF('Importar Reservas'!O547="",0,'Importar Reservas'!O547))</f>
        <v/>
      </c>
      <c r="E555" s="78">
        <f>IF($A555="","",IF('Importar Reservas'!N547="",0,'Importar Reservas'!N547))</f>
        <v/>
      </c>
      <c r="F555" s="78">
        <f>IF($A555="","",IFERROR(INDEX(Configurações!$C$5:$C$100,MATCH($C555,Configurações!$A$5:$A$100,0)),"Margem"))</f>
        <v/>
      </c>
      <c r="G555" s="78">
        <f>IF($A555="","",IFERROR(INDEX(Configurações!$B$5:$B$100,MATCH($C555,Configurações!$A$5:$A$100,0)),0))</f>
        <v/>
      </c>
      <c r="H555" s="78">
        <f>IF(OR($A555="",'Importar Reservas'!M547&lt;&gt;"Aprovado",$D555&lt;=0),"",MAX(0,IF($F555="Margem",$D555-$E555,$D555))*$G555)</f>
        <v/>
      </c>
    </row>
    <row r="556" ht="15" customHeight="1" s="79">
      <c r="A556" s="78">
        <f>IF('Importar Reservas'!A548="","",'Importar Reservas'!A548)</f>
        <v/>
      </c>
      <c r="B556" s="78">
        <f>IF($A556="","",'Importar Reservas'!B548)</f>
        <v/>
      </c>
      <c r="C556" s="78">
        <f>IF($A556="","",'Importar Reservas'!Z548)</f>
        <v/>
      </c>
      <c r="D556" s="78">
        <f>IF($A556="","",IF('Importar Reservas'!O548="",0,'Importar Reservas'!O548))</f>
        <v/>
      </c>
      <c r="E556" s="78">
        <f>IF($A556="","",IF('Importar Reservas'!N548="",0,'Importar Reservas'!N548))</f>
        <v/>
      </c>
      <c r="F556" s="78">
        <f>IF($A556="","",IFERROR(INDEX(Configurações!$C$5:$C$100,MATCH($C556,Configurações!$A$5:$A$100,0)),"Margem"))</f>
        <v/>
      </c>
      <c r="G556" s="78">
        <f>IF($A556="","",IFERROR(INDEX(Configurações!$B$5:$B$100,MATCH($C556,Configurações!$A$5:$A$100,0)),0))</f>
        <v/>
      </c>
      <c r="H556" s="78">
        <f>IF(OR($A556="",'Importar Reservas'!M548&lt;&gt;"Aprovado",$D556&lt;=0),"",MAX(0,IF($F556="Margem",$D556-$E556,$D556))*$G556)</f>
        <v/>
      </c>
    </row>
    <row r="557" ht="15" customHeight="1" s="79">
      <c r="A557" s="78">
        <f>IF('Importar Reservas'!A549="","",'Importar Reservas'!A549)</f>
        <v/>
      </c>
      <c r="B557" s="78">
        <f>IF($A557="","",'Importar Reservas'!B549)</f>
        <v/>
      </c>
      <c r="C557" s="78">
        <f>IF($A557="","",'Importar Reservas'!Z549)</f>
        <v/>
      </c>
      <c r="D557" s="78">
        <f>IF($A557="","",IF('Importar Reservas'!O549="",0,'Importar Reservas'!O549))</f>
        <v/>
      </c>
      <c r="E557" s="78">
        <f>IF($A557="","",IF('Importar Reservas'!N549="",0,'Importar Reservas'!N549))</f>
        <v/>
      </c>
      <c r="F557" s="78">
        <f>IF($A557="","",IFERROR(INDEX(Configurações!$C$5:$C$100,MATCH($C557,Configurações!$A$5:$A$100,0)),"Margem"))</f>
        <v/>
      </c>
      <c r="G557" s="78">
        <f>IF($A557="","",IFERROR(INDEX(Configurações!$B$5:$B$100,MATCH($C557,Configurações!$A$5:$A$100,0)),0))</f>
        <v/>
      </c>
      <c r="H557" s="78">
        <f>IF(OR($A557="",'Importar Reservas'!M549&lt;&gt;"Aprovado",$D557&lt;=0),"",MAX(0,IF($F557="Margem",$D557-$E557,$D557))*$G557)</f>
        <v/>
      </c>
    </row>
    <row r="558" ht="15" customHeight="1" s="79">
      <c r="A558" s="78">
        <f>IF('Importar Reservas'!A550="","",'Importar Reservas'!A550)</f>
        <v/>
      </c>
      <c r="B558" s="78">
        <f>IF($A558="","",'Importar Reservas'!B550)</f>
        <v/>
      </c>
      <c r="C558" s="78">
        <f>IF($A558="","",'Importar Reservas'!Z550)</f>
        <v/>
      </c>
      <c r="D558" s="78">
        <f>IF($A558="","",IF('Importar Reservas'!O550="",0,'Importar Reservas'!O550))</f>
        <v/>
      </c>
      <c r="E558" s="78">
        <f>IF($A558="","",IF('Importar Reservas'!N550="",0,'Importar Reservas'!N550))</f>
        <v/>
      </c>
      <c r="F558" s="78">
        <f>IF($A558="","",IFERROR(INDEX(Configurações!$C$5:$C$100,MATCH($C558,Configurações!$A$5:$A$100,0)),"Margem"))</f>
        <v/>
      </c>
      <c r="G558" s="78">
        <f>IF($A558="","",IFERROR(INDEX(Configurações!$B$5:$B$100,MATCH($C558,Configurações!$A$5:$A$100,0)),0))</f>
        <v/>
      </c>
      <c r="H558" s="78">
        <f>IF(OR($A558="",'Importar Reservas'!M550&lt;&gt;"Aprovado",$D558&lt;=0),"",MAX(0,IF($F558="Margem",$D558-$E558,$D558))*$G558)</f>
        <v/>
      </c>
    </row>
    <row r="559" ht="15" customHeight="1" s="79">
      <c r="A559" s="78">
        <f>IF('Importar Reservas'!A551="","",'Importar Reservas'!A551)</f>
        <v/>
      </c>
      <c r="B559" s="78">
        <f>IF($A559="","",'Importar Reservas'!B551)</f>
        <v/>
      </c>
      <c r="C559" s="78">
        <f>IF($A559="","",'Importar Reservas'!Z551)</f>
        <v/>
      </c>
      <c r="D559" s="78">
        <f>IF($A559="","",IF('Importar Reservas'!O551="",0,'Importar Reservas'!O551))</f>
        <v/>
      </c>
      <c r="E559" s="78">
        <f>IF($A559="","",IF('Importar Reservas'!N551="",0,'Importar Reservas'!N551))</f>
        <v/>
      </c>
      <c r="F559" s="78">
        <f>IF($A559="","",IFERROR(INDEX(Configurações!$C$5:$C$100,MATCH($C559,Configurações!$A$5:$A$100,0)),"Margem"))</f>
        <v/>
      </c>
      <c r="G559" s="78">
        <f>IF($A559="","",IFERROR(INDEX(Configurações!$B$5:$B$100,MATCH($C559,Configurações!$A$5:$A$100,0)),0))</f>
        <v/>
      </c>
      <c r="H559" s="78">
        <f>IF(OR($A559="",'Importar Reservas'!M551&lt;&gt;"Aprovado",$D559&lt;=0),"",MAX(0,IF($F559="Margem",$D559-$E559,$D559))*$G559)</f>
        <v/>
      </c>
    </row>
    <row r="560" ht="15" customHeight="1" s="79">
      <c r="A560" s="78">
        <f>IF('Importar Reservas'!A552="","",'Importar Reservas'!A552)</f>
        <v/>
      </c>
      <c r="B560" s="78">
        <f>IF($A560="","",'Importar Reservas'!B552)</f>
        <v/>
      </c>
      <c r="C560" s="78">
        <f>IF($A560="","",'Importar Reservas'!Z552)</f>
        <v/>
      </c>
      <c r="D560" s="78">
        <f>IF($A560="","",IF('Importar Reservas'!O552="",0,'Importar Reservas'!O552))</f>
        <v/>
      </c>
      <c r="E560" s="78">
        <f>IF($A560="","",IF('Importar Reservas'!N552="",0,'Importar Reservas'!N552))</f>
        <v/>
      </c>
      <c r="F560" s="78">
        <f>IF($A560="","",IFERROR(INDEX(Configurações!$C$5:$C$100,MATCH($C560,Configurações!$A$5:$A$100,0)),"Margem"))</f>
        <v/>
      </c>
      <c r="G560" s="78">
        <f>IF($A560="","",IFERROR(INDEX(Configurações!$B$5:$B$100,MATCH($C560,Configurações!$A$5:$A$100,0)),0))</f>
        <v/>
      </c>
      <c r="H560" s="78">
        <f>IF(OR($A560="",'Importar Reservas'!M552&lt;&gt;"Aprovado",$D560&lt;=0),"",MAX(0,IF($F560="Margem",$D560-$E560,$D560))*$G560)</f>
        <v/>
      </c>
    </row>
    <row r="561" ht="15" customHeight="1" s="79">
      <c r="A561" s="78">
        <f>IF('Importar Reservas'!A553="","",'Importar Reservas'!A553)</f>
        <v/>
      </c>
      <c r="B561" s="78">
        <f>IF($A561="","",'Importar Reservas'!B553)</f>
        <v/>
      </c>
      <c r="C561" s="78">
        <f>IF($A561="","",'Importar Reservas'!Z553)</f>
        <v/>
      </c>
      <c r="D561" s="78">
        <f>IF($A561="","",IF('Importar Reservas'!O553="",0,'Importar Reservas'!O553))</f>
        <v/>
      </c>
      <c r="E561" s="78">
        <f>IF($A561="","",IF('Importar Reservas'!N553="",0,'Importar Reservas'!N553))</f>
        <v/>
      </c>
      <c r="F561" s="78">
        <f>IF($A561="","",IFERROR(INDEX(Configurações!$C$5:$C$100,MATCH($C561,Configurações!$A$5:$A$100,0)),"Margem"))</f>
        <v/>
      </c>
      <c r="G561" s="78">
        <f>IF($A561="","",IFERROR(INDEX(Configurações!$B$5:$B$100,MATCH($C561,Configurações!$A$5:$A$100,0)),0))</f>
        <v/>
      </c>
      <c r="H561" s="78">
        <f>IF(OR($A561="",'Importar Reservas'!M553&lt;&gt;"Aprovado",$D561&lt;=0),"",MAX(0,IF($F561="Margem",$D561-$E561,$D561))*$G561)</f>
        <v/>
      </c>
    </row>
    <row r="562" ht="15" customHeight="1" s="79">
      <c r="A562" s="78">
        <f>IF('Importar Reservas'!A554="","",'Importar Reservas'!A554)</f>
        <v/>
      </c>
      <c r="B562" s="78">
        <f>IF($A562="","",'Importar Reservas'!B554)</f>
        <v/>
      </c>
      <c r="C562" s="78">
        <f>IF($A562="","",'Importar Reservas'!Z554)</f>
        <v/>
      </c>
      <c r="D562" s="78">
        <f>IF($A562="","",IF('Importar Reservas'!O554="",0,'Importar Reservas'!O554))</f>
        <v/>
      </c>
      <c r="E562" s="78">
        <f>IF($A562="","",IF('Importar Reservas'!N554="",0,'Importar Reservas'!N554))</f>
        <v/>
      </c>
      <c r="F562" s="78">
        <f>IF($A562="","",IFERROR(INDEX(Configurações!$C$5:$C$100,MATCH($C562,Configurações!$A$5:$A$100,0)),"Margem"))</f>
        <v/>
      </c>
      <c r="G562" s="78">
        <f>IF($A562="","",IFERROR(INDEX(Configurações!$B$5:$B$100,MATCH($C562,Configurações!$A$5:$A$100,0)),0))</f>
        <v/>
      </c>
      <c r="H562" s="78">
        <f>IF(OR($A562="",'Importar Reservas'!M554&lt;&gt;"Aprovado",$D562&lt;=0),"",MAX(0,IF($F562="Margem",$D562-$E562,$D562))*$G562)</f>
        <v/>
      </c>
    </row>
    <row r="563" ht="15" customHeight="1" s="79">
      <c r="A563" s="78">
        <f>IF('Importar Reservas'!A555="","",'Importar Reservas'!A555)</f>
        <v/>
      </c>
      <c r="B563" s="78">
        <f>IF($A563="","",'Importar Reservas'!B555)</f>
        <v/>
      </c>
      <c r="C563" s="78">
        <f>IF($A563="","",'Importar Reservas'!Z555)</f>
        <v/>
      </c>
      <c r="D563" s="78">
        <f>IF($A563="","",IF('Importar Reservas'!O555="",0,'Importar Reservas'!O555))</f>
        <v/>
      </c>
      <c r="E563" s="78">
        <f>IF($A563="","",IF('Importar Reservas'!N555="",0,'Importar Reservas'!N555))</f>
        <v/>
      </c>
      <c r="F563" s="78">
        <f>IF($A563="","",IFERROR(INDEX(Configurações!$C$5:$C$100,MATCH($C563,Configurações!$A$5:$A$100,0)),"Margem"))</f>
        <v/>
      </c>
      <c r="G563" s="78">
        <f>IF($A563="","",IFERROR(INDEX(Configurações!$B$5:$B$100,MATCH($C563,Configurações!$A$5:$A$100,0)),0))</f>
        <v/>
      </c>
      <c r="H563" s="78">
        <f>IF(OR($A563="",'Importar Reservas'!M555&lt;&gt;"Aprovado",$D563&lt;=0),"",MAX(0,IF($F563="Margem",$D563-$E563,$D563))*$G563)</f>
        <v/>
      </c>
    </row>
    <row r="564" ht="15" customHeight="1" s="79">
      <c r="A564" s="78">
        <f>IF('Importar Reservas'!A556="","",'Importar Reservas'!A556)</f>
        <v/>
      </c>
      <c r="B564" s="78">
        <f>IF($A564="","",'Importar Reservas'!B556)</f>
        <v/>
      </c>
      <c r="C564" s="78">
        <f>IF($A564="","",'Importar Reservas'!Z556)</f>
        <v/>
      </c>
      <c r="D564" s="78">
        <f>IF($A564="","",IF('Importar Reservas'!O556="",0,'Importar Reservas'!O556))</f>
        <v/>
      </c>
      <c r="E564" s="78">
        <f>IF($A564="","",IF('Importar Reservas'!N556="",0,'Importar Reservas'!N556))</f>
        <v/>
      </c>
      <c r="F564" s="78">
        <f>IF($A564="","",IFERROR(INDEX(Configurações!$C$5:$C$100,MATCH($C564,Configurações!$A$5:$A$100,0)),"Margem"))</f>
        <v/>
      </c>
      <c r="G564" s="78">
        <f>IF($A564="","",IFERROR(INDEX(Configurações!$B$5:$B$100,MATCH($C564,Configurações!$A$5:$A$100,0)),0))</f>
        <v/>
      </c>
      <c r="H564" s="78">
        <f>IF(OR($A564="",'Importar Reservas'!M556&lt;&gt;"Aprovado",$D564&lt;=0),"",MAX(0,IF($F564="Margem",$D564-$E564,$D564))*$G564)</f>
        <v/>
      </c>
    </row>
    <row r="565" ht="15" customHeight="1" s="79">
      <c r="A565" s="78">
        <f>IF('Importar Reservas'!A557="","",'Importar Reservas'!A557)</f>
        <v/>
      </c>
      <c r="B565" s="78">
        <f>IF($A565="","",'Importar Reservas'!B557)</f>
        <v/>
      </c>
      <c r="C565" s="78">
        <f>IF($A565="","",'Importar Reservas'!Z557)</f>
        <v/>
      </c>
      <c r="D565" s="78">
        <f>IF($A565="","",IF('Importar Reservas'!O557="",0,'Importar Reservas'!O557))</f>
        <v/>
      </c>
      <c r="E565" s="78">
        <f>IF($A565="","",IF('Importar Reservas'!N557="",0,'Importar Reservas'!N557))</f>
        <v/>
      </c>
      <c r="F565" s="78">
        <f>IF($A565="","",IFERROR(INDEX(Configurações!$C$5:$C$100,MATCH($C565,Configurações!$A$5:$A$100,0)),"Margem"))</f>
        <v/>
      </c>
      <c r="G565" s="78">
        <f>IF($A565="","",IFERROR(INDEX(Configurações!$B$5:$B$100,MATCH($C565,Configurações!$A$5:$A$100,0)),0))</f>
        <v/>
      </c>
      <c r="H565" s="78">
        <f>IF(OR($A565="",'Importar Reservas'!M557&lt;&gt;"Aprovado",$D565&lt;=0),"",MAX(0,IF($F565="Margem",$D565-$E565,$D565))*$G565)</f>
        <v/>
      </c>
    </row>
    <row r="566" ht="15" customHeight="1" s="79">
      <c r="A566" s="78">
        <f>IF('Importar Reservas'!A558="","",'Importar Reservas'!A558)</f>
        <v/>
      </c>
      <c r="B566" s="78">
        <f>IF($A566="","",'Importar Reservas'!B558)</f>
        <v/>
      </c>
      <c r="C566" s="78">
        <f>IF($A566="","",'Importar Reservas'!Z558)</f>
        <v/>
      </c>
      <c r="D566" s="78">
        <f>IF($A566="","",IF('Importar Reservas'!O558="",0,'Importar Reservas'!O558))</f>
        <v/>
      </c>
      <c r="E566" s="78">
        <f>IF($A566="","",IF('Importar Reservas'!N558="",0,'Importar Reservas'!N558))</f>
        <v/>
      </c>
      <c r="F566" s="78">
        <f>IF($A566="","",IFERROR(INDEX(Configurações!$C$5:$C$100,MATCH($C566,Configurações!$A$5:$A$100,0)),"Margem"))</f>
        <v/>
      </c>
      <c r="G566" s="78">
        <f>IF($A566="","",IFERROR(INDEX(Configurações!$B$5:$B$100,MATCH($C566,Configurações!$A$5:$A$100,0)),0))</f>
        <v/>
      </c>
      <c r="H566" s="78">
        <f>IF(OR($A566="",'Importar Reservas'!M558&lt;&gt;"Aprovado",$D566&lt;=0),"",MAX(0,IF($F566="Margem",$D566-$E566,$D566))*$G566)</f>
        <v/>
      </c>
    </row>
    <row r="567" ht="15" customHeight="1" s="79">
      <c r="A567" s="78">
        <f>IF('Importar Reservas'!A559="","",'Importar Reservas'!A559)</f>
        <v/>
      </c>
      <c r="B567" s="78">
        <f>IF($A567="","",'Importar Reservas'!B559)</f>
        <v/>
      </c>
      <c r="C567" s="78">
        <f>IF($A567="","",'Importar Reservas'!Z559)</f>
        <v/>
      </c>
      <c r="D567" s="78">
        <f>IF($A567="","",IF('Importar Reservas'!O559="",0,'Importar Reservas'!O559))</f>
        <v/>
      </c>
      <c r="E567" s="78">
        <f>IF($A567="","",IF('Importar Reservas'!N559="",0,'Importar Reservas'!N559))</f>
        <v/>
      </c>
      <c r="F567" s="78">
        <f>IF($A567="","",IFERROR(INDEX(Configurações!$C$5:$C$100,MATCH($C567,Configurações!$A$5:$A$100,0)),"Margem"))</f>
        <v/>
      </c>
      <c r="G567" s="78">
        <f>IF($A567="","",IFERROR(INDEX(Configurações!$B$5:$B$100,MATCH($C567,Configurações!$A$5:$A$100,0)),0))</f>
        <v/>
      </c>
      <c r="H567" s="78">
        <f>IF(OR($A567="",'Importar Reservas'!M559&lt;&gt;"Aprovado",$D567&lt;=0),"",MAX(0,IF($F567="Margem",$D567-$E567,$D567))*$G567)</f>
        <v/>
      </c>
    </row>
    <row r="568" ht="15" customHeight="1" s="79">
      <c r="A568" s="78">
        <f>IF('Importar Reservas'!A560="","",'Importar Reservas'!A560)</f>
        <v/>
      </c>
      <c r="B568" s="78">
        <f>IF($A568="","",'Importar Reservas'!B560)</f>
        <v/>
      </c>
      <c r="C568" s="78">
        <f>IF($A568="","",'Importar Reservas'!Z560)</f>
        <v/>
      </c>
      <c r="D568" s="78">
        <f>IF($A568="","",IF('Importar Reservas'!O560="",0,'Importar Reservas'!O560))</f>
        <v/>
      </c>
      <c r="E568" s="78">
        <f>IF($A568="","",IF('Importar Reservas'!N560="",0,'Importar Reservas'!N560))</f>
        <v/>
      </c>
      <c r="F568" s="78">
        <f>IF($A568="","",IFERROR(INDEX(Configurações!$C$5:$C$100,MATCH($C568,Configurações!$A$5:$A$100,0)),"Margem"))</f>
        <v/>
      </c>
      <c r="G568" s="78">
        <f>IF($A568="","",IFERROR(INDEX(Configurações!$B$5:$B$100,MATCH($C568,Configurações!$A$5:$A$100,0)),0))</f>
        <v/>
      </c>
      <c r="H568" s="78">
        <f>IF(OR($A568="",'Importar Reservas'!M560&lt;&gt;"Aprovado",$D568&lt;=0),"",MAX(0,IF($F568="Margem",$D568-$E568,$D568))*$G568)</f>
        <v/>
      </c>
    </row>
    <row r="569" ht="15" customHeight="1" s="79">
      <c r="A569" s="78">
        <f>IF('Importar Reservas'!A561="","",'Importar Reservas'!A561)</f>
        <v/>
      </c>
      <c r="B569" s="78">
        <f>IF($A569="","",'Importar Reservas'!B561)</f>
        <v/>
      </c>
      <c r="C569" s="78">
        <f>IF($A569="","",'Importar Reservas'!Z561)</f>
        <v/>
      </c>
      <c r="D569" s="78">
        <f>IF($A569="","",IF('Importar Reservas'!O561="",0,'Importar Reservas'!O561))</f>
        <v/>
      </c>
      <c r="E569" s="78">
        <f>IF($A569="","",IF('Importar Reservas'!N561="",0,'Importar Reservas'!N561))</f>
        <v/>
      </c>
      <c r="F569" s="78">
        <f>IF($A569="","",IFERROR(INDEX(Configurações!$C$5:$C$100,MATCH($C569,Configurações!$A$5:$A$100,0)),"Margem"))</f>
        <v/>
      </c>
      <c r="G569" s="78">
        <f>IF($A569="","",IFERROR(INDEX(Configurações!$B$5:$B$100,MATCH($C569,Configurações!$A$5:$A$100,0)),0))</f>
        <v/>
      </c>
      <c r="H569" s="78">
        <f>IF(OR($A569="",'Importar Reservas'!M561&lt;&gt;"Aprovado",$D569&lt;=0),"",MAX(0,IF($F569="Margem",$D569-$E569,$D569))*$G569)</f>
        <v/>
      </c>
    </row>
    <row r="570" ht="15" customHeight="1" s="79">
      <c r="A570" s="78">
        <f>IF('Importar Reservas'!A562="","",'Importar Reservas'!A562)</f>
        <v/>
      </c>
      <c r="B570" s="78">
        <f>IF($A570="","",'Importar Reservas'!B562)</f>
        <v/>
      </c>
      <c r="C570" s="78">
        <f>IF($A570="","",'Importar Reservas'!Z562)</f>
        <v/>
      </c>
      <c r="D570" s="78">
        <f>IF($A570="","",IF('Importar Reservas'!O562="",0,'Importar Reservas'!O562))</f>
        <v/>
      </c>
      <c r="E570" s="78">
        <f>IF($A570="","",IF('Importar Reservas'!N562="",0,'Importar Reservas'!N562))</f>
        <v/>
      </c>
      <c r="F570" s="78">
        <f>IF($A570="","",IFERROR(INDEX(Configurações!$C$5:$C$100,MATCH($C570,Configurações!$A$5:$A$100,0)),"Margem"))</f>
        <v/>
      </c>
      <c r="G570" s="78">
        <f>IF($A570="","",IFERROR(INDEX(Configurações!$B$5:$B$100,MATCH($C570,Configurações!$A$5:$A$100,0)),0))</f>
        <v/>
      </c>
      <c r="H570" s="78">
        <f>IF(OR($A570="",'Importar Reservas'!M562&lt;&gt;"Aprovado",$D570&lt;=0),"",MAX(0,IF($F570="Margem",$D570-$E570,$D570))*$G570)</f>
        <v/>
      </c>
    </row>
    <row r="571" ht="15" customHeight="1" s="79">
      <c r="A571" s="78">
        <f>IF('Importar Reservas'!A563="","",'Importar Reservas'!A563)</f>
        <v/>
      </c>
      <c r="B571" s="78">
        <f>IF($A571="","",'Importar Reservas'!B563)</f>
        <v/>
      </c>
      <c r="C571" s="78">
        <f>IF($A571="","",'Importar Reservas'!Z563)</f>
        <v/>
      </c>
      <c r="D571" s="78">
        <f>IF($A571="","",IF('Importar Reservas'!O563="",0,'Importar Reservas'!O563))</f>
        <v/>
      </c>
      <c r="E571" s="78">
        <f>IF($A571="","",IF('Importar Reservas'!N563="",0,'Importar Reservas'!N563))</f>
        <v/>
      </c>
      <c r="F571" s="78">
        <f>IF($A571="","",IFERROR(INDEX(Configurações!$C$5:$C$100,MATCH($C571,Configurações!$A$5:$A$100,0)),"Margem"))</f>
        <v/>
      </c>
      <c r="G571" s="78">
        <f>IF($A571="","",IFERROR(INDEX(Configurações!$B$5:$B$100,MATCH($C571,Configurações!$A$5:$A$100,0)),0))</f>
        <v/>
      </c>
      <c r="H571" s="78">
        <f>IF(OR($A571="",'Importar Reservas'!M563&lt;&gt;"Aprovado",$D571&lt;=0),"",MAX(0,IF($F571="Margem",$D571-$E571,$D571))*$G571)</f>
        <v/>
      </c>
    </row>
    <row r="572" ht="15" customHeight="1" s="79">
      <c r="A572" s="78">
        <f>IF('Importar Reservas'!A564="","",'Importar Reservas'!A564)</f>
        <v/>
      </c>
      <c r="B572" s="78">
        <f>IF($A572="","",'Importar Reservas'!B564)</f>
        <v/>
      </c>
      <c r="C572" s="78">
        <f>IF($A572="","",'Importar Reservas'!Z564)</f>
        <v/>
      </c>
      <c r="D572" s="78">
        <f>IF($A572="","",IF('Importar Reservas'!O564="",0,'Importar Reservas'!O564))</f>
        <v/>
      </c>
      <c r="E572" s="78">
        <f>IF($A572="","",IF('Importar Reservas'!N564="",0,'Importar Reservas'!N564))</f>
        <v/>
      </c>
      <c r="F572" s="78">
        <f>IF($A572="","",IFERROR(INDEX(Configurações!$C$5:$C$100,MATCH($C572,Configurações!$A$5:$A$100,0)),"Margem"))</f>
        <v/>
      </c>
      <c r="G572" s="78">
        <f>IF($A572="","",IFERROR(INDEX(Configurações!$B$5:$B$100,MATCH($C572,Configurações!$A$5:$A$100,0)),0))</f>
        <v/>
      </c>
      <c r="H572" s="78">
        <f>IF(OR($A572="",'Importar Reservas'!M564&lt;&gt;"Aprovado",$D572&lt;=0),"",MAX(0,IF($F572="Margem",$D572-$E572,$D572))*$G572)</f>
        <v/>
      </c>
    </row>
    <row r="573" ht="15" customHeight="1" s="79">
      <c r="A573" s="78">
        <f>IF('Importar Reservas'!A565="","",'Importar Reservas'!A565)</f>
        <v/>
      </c>
      <c r="B573" s="78">
        <f>IF($A573="","",'Importar Reservas'!B565)</f>
        <v/>
      </c>
      <c r="C573" s="78">
        <f>IF($A573="","",'Importar Reservas'!Z565)</f>
        <v/>
      </c>
      <c r="D573" s="78">
        <f>IF($A573="","",IF('Importar Reservas'!O565="",0,'Importar Reservas'!O565))</f>
        <v/>
      </c>
      <c r="E573" s="78">
        <f>IF($A573="","",IF('Importar Reservas'!N565="",0,'Importar Reservas'!N565))</f>
        <v/>
      </c>
      <c r="F573" s="78">
        <f>IF($A573="","",IFERROR(INDEX(Configurações!$C$5:$C$100,MATCH($C573,Configurações!$A$5:$A$100,0)),"Margem"))</f>
        <v/>
      </c>
      <c r="G573" s="78">
        <f>IF($A573="","",IFERROR(INDEX(Configurações!$B$5:$B$100,MATCH($C573,Configurações!$A$5:$A$100,0)),0))</f>
        <v/>
      </c>
      <c r="H573" s="78">
        <f>IF(OR($A573="",'Importar Reservas'!M565&lt;&gt;"Aprovado",$D573&lt;=0),"",MAX(0,IF($F573="Margem",$D573-$E573,$D573))*$G573)</f>
        <v/>
      </c>
    </row>
    <row r="574" ht="15" customHeight="1" s="79">
      <c r="A574" s="78">
        <f>IF('Importar Reservas'!A566="","",'Importar Reservas'!A566)</f>
        <v/>
      </c>
      <c r="B574" s="78">
        <f>IF($A574="","",'Importar Reservas'!B566)</f>
        <v/>
      </c>
      <c r="C574" s="78">
        <f>IF($A574="","",'Importar Reservas'!Z566)</f>
        <v/>
      </c>
      <c r="D574" s="78">
        <f>IF($A574="","",IF('Importar Reservas'!O566="",0,'Importar Reservas'!O566))</f>
        <v/>
      </c>
      <c r="E574" s="78">
        <f>IF($A574="","",IF('Importar Reservas'!N566="",0,'Importar Reservas'!N566))</f>
        <v/>
      </c>
      <c r="F574" s="78">
        <f>IF($A574="","",IFERROR(INDEX(Configurações!$C$5:$C$100,MATCH($C574,Configurações!$A$5:$A$100,0)),"Margem"))</f>
        <v/>
      </c>
      <c r="G574" s="78">
        <f>IF($A574="","",IFERROR(INDEX(Configurações!$B$5:$B$100,MATCH($C574,Configurações!$A$5:$A$100,0)),0))</f>
        <v/>
      </c>
      <c r="H574" s="78">
        <f>IF(OR($A574="",'Importar Reservas'!M566&lt;&gt;"Aprovado",$D574&lt;=0),"",MAX(0,IF($F574="Margem",$D574-$E574,$D574))*$G574)</f>
        <v/>
      </c>
    </row>
    <row r="575" ht="15" customHeight="1" s="79">
      <c r="A575" s="78">
        <f>IF('Importar Reservas'!A567="","",'Importar Reservas'!A567)</f>
        <v/>
      </c>
      <c r="B575" s="78">
        <f>IF($A575="","",'Importar Reservas'!B567)</f>
        <v/>
      </c>
      <c r="C575" s="78">
        <f>IF($A575="","",'Importar Reservas'!Z567)</f>
        <v/>
      </c>
      <c r="D575" s="78">
        <f>IF($A575="","",IF('Importar Reservas'!O567="",0,'Importar Reservas'!O567))</f>
        <v/>
      </c>
      <c r="E575" s="78">
        <f>IF($A575="","",IF('Importar Reservas'!N567="",0,'Importar Reservas'!N567))</f>
        <v/>
      </c>
      <c r="F575" s="78">
        <f>IF($A575="","",IFERROR(INDEX(Configurações!$C$5:$C$100,MATCH($C575,Configurações!$A$5:$A$100,0)),"Margem"))</f>
        <v/>
      </c>
      <c r="G575" s="78">
        <f>IF($A575="","",IFERROR(INDEX(Configurações!$B$5:$B$100,MATCH($C575,Configurações!$A$5:$A$100,0)),0))</f>
        <v/>
      </c>
      <c r="H575" s="78">
        <f>IF(OR($A575="",'Importar Reservas'!M567&lt;&gt;"Aprovado",$D575&lt;=0),"",MAX(0,IF($F575="Margem",$D575-$E575,$D575))*$G575)</f>
        <v/>
      </c>
    </row>
    <row r="576" ht="15" customHeight="1" s="79">
      <c r="A576" s="78">
        <f>IF('Importar Reservas'!A568="","",'Importar Reservas'!A568)</f>
        <v/>
      </c>
      <c r="B576" s="78">
        <f>IF($A576="","",'Importar Reservas'!B568)</f>
        <v/>
      </c>
      <c r="C576" s="78">
        <f>IF($A576="","",'Importar Reservas'!Z568)</f>
        <v/>
      </c>
      <c r="D576" s="78">
        <f>IF($A576="","",IF('Importar Reservas'!O568="",0,'Importar Reservas'!O568))</f>
        <v/>
      </c>
      <c r="E576" s="78">
        <f>IF($A576="","",IF('Importar Reservas'!N568="",0,'Importar Reservas'!N568))</f>
        <v/>
      </c>
      <c r="F576" s="78">
        <f>IF($A576="","",IFERROR(INDEX(Configurações!$C$5:$C$100,MATCH($C576,Configurações!$A$5:$A$100,0)),"Margem"))</f>
        <v/>
      </c>
      <c r="G576" s="78">
        <f>IF($A576="","",IFERROR(INDEX(Configurações!$B$5:$B$100,MATCH($C576,Configurações!$A$5:$A$100,0)),0))</f>
        <v/>
      </c>
      <c r="H576" s="78">
        <f>IF(OR($A576="",'Importar Reservas'!M568&lt;&gt;"Aprovado",$D576&lt;=0),"",MAX(0,IF($F576="Margem",$D576-$E576,$D576))*$G576)</f>
        <v/>
      </c>
    </row>
    <row r="577" ht="15" customHeight="1" s="79">
      <c r="A577" s="78">
        <f>IF('Importar Reservas'!A569="","",'Importar Reservas'!A569)</f>
        <v/>
      </c>
      <c r="B577" s="78">
        <f>IF($A577="","",'Importar Reservas'!B569)</f>
        <v/>
      </c>
      <c r="C577" s="78">
        <f>IF($A577="","",'Importar Reservas'!Z569)</f>
        <v/>
      </c>
      <c r="D577" s="78">
        <f>IF($A577="","",IF('Importar Reservas'!O569="",0,'Importar Reservas'!O569))</f>
        <v/>
      </c>
      <c r="E577" s="78">
        <f>IF($A577="","",IF('Importar Reservas'!N569="",0,'Importar Reservas'!N569))</f>
        <v/>
      </c>
      <c r="F577" s="78">
        <f>IF($A577="","",IFERROR(INDEX(Configurações!$C$5:$C$100,MATCH($C577,Configurações!$A$5:$A$100,0)),"Margem"))</f>
        <v/>
      </c>
      <c r="G577" s="78">
        <f>IF($A577="","",IFERROR(INDEX(Configurações!$B$5:$B$100,MATCH($C577,Configurações!$A$5:$A$100,0)),0))</f>
        <v/>
      </c>
      <c r="H577" s="78">
        <f>IF(OR($A577="",'Importar Reservas'!M569&lt;&gt;"Aprovado",$D577&lt;=0),"",MAX(0,IF($F577="Margem",$D577-$E577,$D577))*$G577)</f>
        <v/>
      </c>
    </row>
    <row r="578" ht="15" customHeight="1" s="79">
      <c r="A578" s="78">
        <f>IF('Importar Reservas'!A570="","",'Importar Reservas'!A570)</f>
        <v/>
      </c>
      <c r="B578" s="78">
        <f>IF($A578="","",'Importar Reservas'!B570)</f>
        <v/>
      </c>
      <c r="C578" s="78">
        <f>IF($A578="","",'Importar Reservas'!Z570)</f>
        <v/>
      </c>
      <c r="D578" s="78">
        <f>IF($A578="","",IF('Importar Reservas'!O570="",0,'Importar Reservas'!O570))</f>
        <v/>
      </c>
      <c r="E578" s="78">
        <f>IF($A578="","",IF('Importar Reservas'!N570="",0,'Importar Reservas'!N570))</f>
        <v/>
      </c>
      <c r="F578" s="78">
        <f>IF($A578="","",IFERROR(INDEX(Configurações!$C$5:$C$100,MATCH($C578,Configurações!$A$5:$A$100,0)),"Margem"))</f>
        <v/>
      </c>
      <c r="G578" s="78">
        <f>IF($A578="","",IFERROR(INDEX(Configurações!$B$5:$B$100,MATCH($C578,Configurações!$A$5:$A$100,0)),0))</f>
        <v/>
      </c>
      <c r="H578" s="78">
        <f>IF(OR($A578="",'Importar Reservas'!M570&lt;&gt;"Aprovado",$D578&lt;=0),"",MAX(0,IF($F578="Margem",$D578-$E578,$D578))*$G578)</f>
        <v/>
      </c>
    </row>
    <row r="579" ht="15" customHeight="1" s="79">
      <c r="A579" s="78">
        <f>IF('Importar Reservas'!A571="","",'Importar Reservas'!A571)</f>
        <v/>
      </c>
      <c r="B579" s="78">
        <f>IF($A579="","",'Importar Reservas'!B571)</f>
        <v/>
      </c>
      <c r="C579" s="78">
        <f>IF($A579="","",'Importar Reservas'!Z571)</f>
        <v/>
      </c>
      <c r="D579" s="78">
        <f>IF($A579="","",IF('Importar Reservas'!O571="",0,'Importar Reservas'!O571))</f>
        <v/>
      </c>
      <c r="E579" s="78">
        <f>IF($A579="","",IF('Importar Reservas'!N571="",0,'Importar Reservas'!N571))</f>
        <v/>
      </c>
      <c r="F579" s="78">
        <f>IF($A579="","",IFERROR(INDEX(Configurações!$C$5:$C$100,MATCH($C579,Configurações!$A$5:$A$100,0)),"Margem"))</f>
        <v/>
      </c>
      <c r="G579" s="78">
        <f>IF($A579="","",IFERROR(INDEX(Configurações!$B$5:$B$100,MATCH($C579,Configurações!$A$5:$A$100,0)),0))</f>
        <v/>
      </c>
      <c r="H579" s="78">
        <f>IF(OR($A579="",'Importar Reservas'!M571&lt;&gt;"Aprovado",$D579&lt;=0),"",MAX(0,IF($F579="Margem",$D579-$E579,$D579))*$G579)</f>
        <v/>
      </c>
    </row>
    <row r="580" ht="15" customHeight="1" s="79">
      <c r="A580" s="78">
        <f>IF('Importar Reservas'!A572="","",'Importar Reservas'!A572)</f>
        <v/>
      </c>
      <c r="B580" s="78">
        <f>IF($A580="","",'Importar Reservas'!B572)</f>
        <v/>
      </c>
      <c r="C580" s="78">
        <f>IF($A580="","",'Importar Reservas'!Z572)</f>
        <v/>
      </c>
      <c r="D580" s="78">
        <f>IF($A580="","",IF('Importar Reservas'!O572="",0,'Importar Reservas'!O572))</f>
        <v/>
      </c>
      <c r="E580" s="78">
        <f>IF($A580="","",IF('Importar Reservas'!N572="",0,'Importar Reservas'!N572))</f>
        <v/>
      </c>
      <c r="F580" s="78">
        <f>IF($A580="","",IFERROR(INDEX(Configurações!$C$5:$C$100,MATCH($C580,Configurações!$A$5:$A$100,0)),"Margem"))</f>
        <v/>
      </c>
      <c r="G580" s="78">
        <f>IF($A580="","",IFERROR(INDEX(Configurações!$B$5:$B$100,MATCH($C580,Configurações!$A$5:$A$100,0)),0))</f>
        <v/>
      </c>
      <c r="H580" s="78">
        <f>IF(OR($A580="",'Importar Reservas'!M572&lt;&gt;"Aprovado",$D580&lt;=0),"",MAX(0,IF($F580="Margem",$D580-$E580,$D580))*$G580)</f>
        <v/>
      </c>
    </row>
    <row r="581" ht="15" customHeight="1" s="79">
      <c r="A581" s="78">
        <f>IF('Importar Reservas'!A573="","",'Importar Reservas'!A573)</f>
        <v/>
      </c>
      <c r="B581" s="78">
        <f>IF($A581="","",'Importar Reservas'!B573)</f>
        <v/>
      </c>
      <c r="C581" s="78">
        <f>IF($A581="","",'Importar Reservas'!Z573)</f>
        <v/>
      </c>
      <c r="D581" s="78">
        <f>IF($A581="","",IF('Importar Reservas'!O573="",0,'Importar Reservas'!O573))</f>
        <v/>
      </c>
      <c r="E581" s="78">
        <f>IF($A581="","",IF('Importar Reservas'!N573="",0,'Importar Reservas'!N573))</f>
        <v/>
      </c>
      <c r="F581" s="78">
        <f>IF($A581="","",IFERROR(INDEX(Configurações!$C$5:$C$100,MATCH($C581,Configurações!$A$5:$A$100,0)),"Margem"))</f>
        <v/>
      </c>
      <c r="G581" s="78">
        <f>IF($A581="","",IFERROR(INDEX(Configurações!$B$5:$B$100,MATCH($C581,Configurações!$A$5:$A$100,0)),0))</f>
        <v/>
      </c>
      <c r="H581" s="78">
        <f>IF(OR($A581="",'Importar Reservas'!M573&lt;&gt;"Aprovado",$D581&lt;=0),"",MAX(0,IF($F581="Margem",$D581-$E581,$D581))*$G581)</f>
        <v/>
      </c>
    </row>
    <row r="582" ht="15" customHeight="1" s="79">
      <c r="A582" s="78">
        <f>IF('Importar Reservas'!A574="","",'Importar Reservas'!A574)</f>
        <v/>
      </c>
      <c r="B582" s="78">
        <f>IF($A582="","",'Importar Reservas'!B574)</f>
        <v/>
      </c>
      <c r="C582" s="78">
        <f>IF($A582="","",'Importar Reservas'!Z574)</f>
        <v/>
      </c>
      <c r="D582" s="78">
        <f>IF($A582="","",IF('Importar Reservas'!O574="",0,'Importar Reservas'!O574))</f>
        <v/>
      </c>
      <c r="E582" s="78">
        <f>IF($A582="","",IF('Importar Reservas'!N574="",0,'Importar Reservas'!N574))</f>
        <v/>
      </c>
      <c r="F582" s="78">
        <f>IF($A582="","",IFERROR(INDEX(Configurações!$C$5:$C$100,MATCH($C582,Configurações!$A$5:$A$100,0)),"Margem"))</f>
        <v/>
      </c>
      <c r="G582" s="78">
        <f>IF($A582="","",IFERROR(INDEX(Configurações!$B$5:$B$100,MATCH($C582,Configurações!$A$5:$A$100,0)),0))</f>
        <v/>
      </c>
      <c r="H582" s="78">
        <f>IF(OR($A582="",'Importar Reservas'!M574&lt;&gt;"Aprovado",$D582&lt;=0),"",MAX(0,IF($F582="Margem",$D582-$E582,$D582))*$G582)</f>
        <v/>
      </c>
    </row>
    <row r="583" ht="15" customHeight="1" s="79">
      <c r="A583" s="78">
        <f>IF('Importar Reservas'!A575="","",'Importar Reservas'!A575)</f>
        <v/>
      </c>
      <c r="B583" s="78">
        <f>IF($A583="","",'Importar Reservas'!B575)</f>
        <v/>
      </c>
      <c r="C583" s="78">
        <f>IF($A583="","",'Importar Reservas'!Z575)</f>
        <v/>
      </c>
      <c r="D583" s="78">
        <f>IF($A583="","",IF('Importar Reservas'!O575="",0,'Importar Reservas'!O575))</f>
        <v/>
      </c>
      <c r="E583" s="78">
        <f>IF($A583="","",IF('Importar Reservas'!N575="",0,'Importar Reservas'!N575))</f>
        <v/>
      </c>
      <c r="F583" s="78">
        <f>IF($A583="","",IFERROR(INDEX(Configurações!$C$5:$C$100,MATCH($C583,Configurações!$A$5:$A$100,0)),"Margem"))</f>
        <v/>
      </c>
      <c r="G583" s="78">
        <f>IF($A583="","",IFERROR(INDEX(Configurações!$B$5:$B$100,MATCH($C583,Configurações!$A$5:$A$100,0)),0))</f>
        <v/>
      </c>
      <c r="H583" s="78">
        <f>IF(OR($A583="",'Importar Reservas'!M575&lt;&gt;"Aprovado",$D583&lt;=0),"",MAX(0,IF($F583="Margem",$D583-$E583,$D583))*$G583)</f>
        <v/>
      </c>
    </row>
    <row r="584" ht="15" customHeight="1" s="79">
      <c r="A584" s="78">
        <f>IF('Importar Reservas'!A576="","",'Importar Reservas'!A576)</f>
        <v/>
      </c>
      <c r="B584" s="78">
        <f>IF($A584="","",'Importar Reservas'!B576)</f>
        <v/>
      </c>
      <c r="C584" s="78">
        <f>IF($A584="","",'Importar Reservas'!Z576)</f>
        <v/>
      </c>
      <c r="D584" s="78">
        <f>IF($A584="","",IF('Importar Reservas'!O576="",0,'Importar Reservas'!O576))</f>
        <v/>
      </c>
      <c r="E584" s="78">
        <f>IF($A584="","",IF('Importar Reservas'!N576="",0,'Importar Reservas'!N576))</f>
        <v/>
      </c>
      <c r="F584" s="78">
        <f>IF($A584="","",IFERROR(INDEX(Configurações!$C$5:$C$100,MATCH($C584,Configurações!$A$5:$A$100,0)),"Margem"))</f>
        <v/>
      </c>
      <c r="G584" s="78">
        <f>IF($A584="","",IFERROR(INDEX(Configurações!$B$5:$B$100,MATCH($C584,Configurações!$A$5:$A$100,0)),0))</f>
        <v/>
      </c>
      <c r="H584" s="78">
        <f>IF(OR($A584="",'Importar Reservas'!M576&lt;&gt;"Aprovado",$D584&lt;=0),"",MAX(0,IF($F584="Margem",$D584-$E584,$D584))*$G584)</f>
        <v/>
      </c>
    </row>
    <row r="585" ht="15" customHeight="1" s="79">
      <c r="A585" s="78">
        <f>IF('Importar Reservas'!A577="","",'Importar Reservas'!A577)</f>
        <v/>
      </c>
      <c r="B585" s="78">
        <f>IF($A585="","",'Importar Reservas'!B577)</f>
        <v/>
      </c>
      <c r="C585" s="78">
        <f>IF($A585="","",'Importar Reservas'!Z577)</f>
        <v/>
      </c>
      <c r="D585" s="78">
        <f>IF($A585="","",IF('Importar Reservas'!O577="",0,'Importar Reservas'!O577))</f>
        <v/>
      </c>
      <c r="E585" s="78">
        <f>IF($A585="","",IF('Importar Reservas'!N577="",0,'Importar Reservas'!N577))</f>
        <v/>
      </c>
      <c r="F585" s="78">
        <f>IF($A585="","",IFERROR(INDEX(Configurações!$C$5:$C$100,MATCH($C585,Configurações!$A$5:$A$100,0)),"Margem"))</f>
        <v/>
      </c>
      <c r="G585" s="78">
        <f>IF($A585="","",IFERROR(INDEX(Configurações!$B$5:$B$100,MATCH($C585,Configurações!$A$5:$A$100,0)),0))</f>
        <v/>
      </c>
      <c r="H585" s="78">
        <f>IF(OR($A585="",'Importar Reservas'!M577&lt;&gt;"Aprovado",$D585&lt;=0),"",MAX(0,IF($F585="Margem",$D585-$E585,$D585))*$G585)</f>
        <v/>
      </c>
    </row>
    <row r="586" ht="15" customHeight="1" s="79">
      <c r="A586" s="78">
        <f>IF('Importar Reservas'!A578="","",'Importar Reservas'!A578)</f>
        <v/>
      </c>
      <c r="B586" s="78">
        <f>IF($A586="","",'Importar Reservas'!B578)</f>
        <v/>
      </c>
      <c r="C586" s="78">
        <f>IF($A586="","",'Importar Reservas'!Z578)</f>
        <v/>
      </c>
      <c r="D586" s="78">
        <f>IF($A586="","",IF('Importar Reservas'!O578="",0,'Importar Reservas'!O578))</f>
        <v/>
      </c>
      <c r="E586" s="78">
        <f>IF($A586="","",IF('Importar Reservas'!N578="",0,'Importar Reservas'!N578))</f>
        <v/>
      </c>
      <c r="F586" s="78">
        <f>IF($A586="","",IFERROR(INDEX(Configurações!$C$5:$C$100,MATCH($C586,Configurações!$A$5:$A$100,0)),"Margem"))</f>
        <v/>
      </c>
      <c r="G586" s="78">
        <f>IF($A586="","",IFERROR(INDEX(Configurações!$B$5:$B$100,MATCH($C586,Configurações!$A$5:$A$100,0)),0))</f>
        <v/>
      </c>
      <c r="H586" s="78">
        <f>IF(OR($A586="",'Importar Reservas'!M578&lt;&gt;"Aprovado",$D586&lt;=0),"",MAX(0,IF($F586="Margem",$D586-$E586,$D586))*$G586)</f>
        <v/>
      </c>
    </row>
    <row r="587" ht="15" customHeight="1" s="79">
      <c r="A587" s="78">
        <f>IF('Importar Reservas'!A579="","",'Importar Reservas'!A579)</f>
        <v/>
      </c>
      <c r="B587" s="78">
        <f>IF($A587="","",'Importar Reservas'!B579)</f>
        <v/>
      </c>
      <c r="C587" s="78">
        <f>IF($A587="","",'Importar Reservas'!Z579)</f>
        <v/>
      </c>
      <c r="D587" s="78">
        <f>IF($A587="","",IF('Importar Reservas'!O579="",0,'Importar Reservas'!O579))</f>
        <v/>
      </c>
      <c r="E587" s="78">
        <f>IF($A587="","",IF('Importar Reservas'!N579="",0,'Importar Reservas'!N579))</f>
        <v/>
      </c>
      <c r="F587" s="78">
        <f>IF($A587="","",IFERROR(INDEX(Configurações!$C$5:$C$100,MATCH($C587,Configurações!$A$5:$A$100,0)),"Margem"))</f>
        <v/>
      </c>
      <c r="G587" s="78">
        <f>IF($A587="","",IFERROR(INDEX(Configurações!$B$5:$B$100,MATCH($C587,Configurações!$A$5:$A$100,0)),0))</f>
        <v/>
      </c>
      <c r="H587" s="78">
        <f>IF(OR($A587="",'Importar Reservas'!M579&lt;&gt;"Aprovado",$D587&lt;=0),"",MAX(0,IF($F587="Margem",$D587-$E587,$D587))*$G587)</f>
        <v/>
      </c>
    </row>
    <row r="588" ht="15" customHeight="1" s="79">
      <c r="A588" s="78">
        <f>IF('Importar Reservas'!A580="","",'Importar Reservas'!A580)</f>
        <v/>
      </c>
      <c r="B588" s="78">
        <f>IF($A588="","",'Importar Reservas'!B580)</f>
        <v/>
      </c>
      <c r="C588" s="78">
        <f>IF($A588="","",'Importar Reservas'!Z580)</f>
        <v/>
      </c>
      <c r="D588" s="78">
        <f>IF($A588="","",IF('Importar Reservas'!O580="",0,'Importar Reservas'!O580))</f>
        <v/>
      </c>
      <c r="E588" s="78">
        <f>IF($A588="","",IF('Importar Reservas'!N580="",0,'Importar Reservas'!N580))</f>
        <v/>
      </c>
      <c r="F588" s="78">
        <f>IF($A588="","",IFERROR(INDEX(Configurações!$C$5:$C$100,MATCH($C588,Configurações!$A$5:$A$100,0)),"Margem"))</f>
        <v/>
      </c>
      <c r="G588" s="78">
        <f>IF($A588="","",IFERROR(INDEX(Configurações!$B$5:$B$100,MATCH($C588,Configurações!$A$5:$A$100,0)),0))</f>
        <v/>
      </c>
      <c r="H588" s="78">
        <f>IF(OR($A588="",'Importar Reservas'!M580&lt;&gt;"Aprovado",$D588&lt;=0),"",MAX(0,IF($F588="Margem",$D588-$E588,$D588))*$G588)</f>
        <v/>
      </c>
    </row>
    <row r="589" ht="15" customHeight="1" s="79">
      <c r="A589" s="78">
        <f>IF('Importar Reservas'!A581="","",'Importar Reservas'!A581)</f>
        <v/>
      </c>
      <c r="B589" s="78">
        <f>IF($A589="","",'Importar Reservas'!B581)</f>
        <v/>
      </c>
      <c r="C589" s="78">
        <f>IF($A589="","",'Importar Reservas'!Z581)</f>
        <v/>
      </c>
      <c r="D589" s="78">
        <f>IF($A589="","",IF('Importar Reservas'!O581="",0,'Importar Reservas'!O581))</f>
        <v/>
      </c>
      <c r="E589" s="78">
        <f>IF($A589="","",IF('Importar Reservas'!N581="",0,'Importar Reservas'!N581))</f>
        <v/>
      </c>
      <c r="F589" s="78">
        <f>IF($A589="","",IFERROR(INDEX(Configurações!$C$5:$C$100,MATCH($C589,Configurações!$A$5:$A$100,0)),"Margem"))</f>
        <v/>
      </c>
      <c r="G589" s="78">
        <f>IF($A589="","",IFERROR(INDEX(Configurações!$B$5:$B$100,MATCH($C589,Configurações!$A$5:$A$100,0)),0))</f>
        <v/>
      </c>
      <c r="H589" s="78">
        <f>IF(OR($A589="",'Importar Reservas'!M581&lt;&gt;"Aprovado",$D589&lt;=0),"",MAX(0,IF($F589="Margem",$D589-$E589,$D589))*$G589)</f>
        <v/>
      </c>
    </row>
    <row r="590" ht="15" customHeight="1" s="79">
      <c r="A590" s="78">
        <f>IF('Importar Reservas'!A582="","",'Importar Reservas'!A582)</f>
        <v/>
      </c>
      <c r="B590" s="78">
        <f>IF($A590="","",'Importar Reservas'!B582)</f>
        <v/>
      </c>
      <c r="C590" s="78">
        <f>IF($A590="","",'Importar Reservas'!Z582)</f>
        <v/>
      </c>
      <c r="D590" s="78">
        <f>IF($A590="","",IF('Importar Reservas'!O582="",0,'Importar Reservas'!O582))</f>
        <v/>
      </c>
      <c r="E590" s="78">
        <f>IF($A590="","",IF('Importar Reservas'!N582="",0,'Importar Reservas'!N582))</f>
        <v/>
      </c>
      <c r="F590" s="78">
        <f>IF($A590="","",IFERROR(INDEX(Configurações!$C$5:$C$100,MATCH($C590,Configurações!$A$5:$A$100,0)),"Margem"))</f>
        <v/>
      </c>
      <c r="G590" s="78">
        <f>IF($A590="","",IFERROR(INDEX(Configurações!$B$5:$B$100,MATCH($C590,Configurações!$A$5:$A$100,0)),0))</f>
        <v/>
      </c>
      <c r="H590" s="78">
        <f>IF(OR($A590="",'Importar Reservas'!M582&lt;&gt;"Aprovado",$D590&lt;=0),"",MAX(0,IF($F590="Margem",$D590-$E590,$D590))*$G590)</f>
        <v/>
      </c>
    </row>
    <row r="591" ht="15" customHeight="1" s="79">
      <c r="A591" s="78">
        <f>IF('Importar Reservas'!A583="","",'Importar Reservas'!A583)</f>
        <v/>
      </c>
      <c r="B591" s="78">
        <f>IF($A591="","",'Importar Reservas'!B583)</f>
        <v/>
      </c>
      <c r="C591" s="78">
        <f>IF($A591="","",'Importar Reservas'!Z583)</f>
        <v/>
      </c>
      <c r="D591" s="78">
        <f>IF($A591="","",IF('Importar Reservas'!O583="",0,'Importar Reservas'!O583))</f>
        <v/>
      </c>
      <c r="E591" s="78">
        <f>IF($A591="","",IF('Importar Reservas'!N583="",0,'Importar Reservas'!N583))</f>
        <v/>
      </c>
      <c r="F591" s="78">
        <f>IF($A591="","",IFERROR(INDEX(Configurações!$C$5:$C$100,MATCH($C591,Configurações!$A$5:$A$100,0)),"Margem"))</f>
        <v/>
      </c>
      <c r="G591" s="78">
        <f>IF($A591="","",IFERROR(INDEX(Configurações!$B$5:$B$100,MATCH($C591,Configurações!$A$5:$A$100,0)),0))</f>
        <v/>
      </c>
      <c r="H591" s="78">
        <f>IF(OR($A591="",'Importar Reservas'!M583&lt;&gt;"Aprovado",$D591&lt;=0),"",MAX(0,IF($F591="Margem",$D591-$E591,$D591))*$G591)</f>
        <v/>
      </c>
    </row>
    <row r="592" ht="15" customHeight="1" s="79">
      <c r="A592" s="78">
        <f>IF('Importar Reservas'!A584="","",'Importar Reservas'!A584)</f>
        <v/>
      </c>
      <c r="B592" s="78">
        <f>IF($A592="","",'Importar Reservas'!B584)</f>
        <v/>
      </c>
      <c r="C592" s="78">
        <f>IF($A592="","",'Importar Reservas'!Z584)</f>
        <v/>
      </c>
      <c r="D592" s="78">
        <f>IF($A592="","",IF('Importar Reservas'!O584="",0,'Importar Reservas'!O584))</f>
        <v/>
      </c>
      <c r="E592" s="78">
        <f>IF($A592="","",IF('Importar Reservas'!N584="",0,'Importar Reservas'!N584))</f>
        <v/>
      </c>
      <c r="F592" s="78">
        <f>IF($A592="","",IFERROR(INDEX(Configurações!$C$5:$C$100,MATCH($C592,Configurações!$A$5:$A$100,0)),"Margem"))</f>
        <v/>
      </c>
      <c r="G592" s="78">
        <f>IF($A592="","",IFERROR(INDEX(Configurações!$B$5:$B$100,MATCH($C592,Configurações!$A$5:$A$100,0)),0))</f>
        <v/>
      </c>
      <c r="H592" s="78">
        <f>IF(OR($A592="",'Importar Reservas'!M584&lt;&gt;"Aprovado",$D592&lt;=0),"",MAX(0,IF($F592="Margem",$D592-$E592,$D592))*$G592)</f>
        <v/>
      </c>
    </row>
    <row r="593" ht="15" customHeight="1" s="79">
      <c r="A593" s="78">
        <f>IF('Importar Reservas'!A585="","",'Importar Reservas'!A585)</f>
        <v/>
      </c>
      <c r="B593" s="78">
        <f>IF($A593="","",'Importar Reservas'!B585)</f>
        <v/>
      </c>
      <c r="C593" s="78">
        <f>IF($A593="","",'Importar Reservas'!Z585)</f>
        <v/>
      </c>
      <c r="D593" s="78">
        <f>IF($A593="","",IF('Importar Reservas'!O585="",0,'Importar Reservas'!O585))</f>
        <v/>
      </c>
      <c r="E593" s="78">
        <f>IF($A593="","",IF('Importar Reservas'!N585="",0,'Importar Reservas'!N585))</f>
        <v/>
      </c>
      <c r="F593" s="78">
        <f>IF($A593="","",IFERROR(INDEX(Configurações!$C$5:$C$100,MATCH($C593,Configurações!$A$5:$A$100,0)),"Margem"))</f>
        <v/>
      </c>
      <c r="G593" s="78">
        <f>IF($A593="","",IFERROR(INDEX(Configurações!$B$5:$B$100,MATCH($C593,Configurações!$A$5:$A$100,0)),0))</f>
        <v/>
      </c>
      <c r="H593" s="78">
        <f>IF(OR($A593="",'Importar Reservas'!M585&lt;&gt;"Aprovado",$D593&lt;=0),"",MAX(0,IF($F593="Margem",$D593-$E593,$D593))*$G593)</f>
        <v/>
      </c>
    </row>
    <row r="594" ht="15" customHeight="1" s="79">
      <c r="A594" s="78">
        <f>IF('Importar Reservas'!A586="","",'Importar Reservas'!A586)</f>
        <v/>
      </c>
      <c r="B594" s="78">
        <f>IF($A594="","",'Importar Reservas'!B586)</f>
        <v/>
      </c>
      <c r="C594" s="78">
        <f>IF($A594="","",'Importar Reservas'!Z586)</f>
        <v/>
      </c>
      <c r="D594" s="78">
        <f>IF($A594="","",IF('Importar Reservas'!O586="",0,'Importar Reservas'!O586))</f>
        <v/>
      </c>
      <c r="E594" s="78">
        <f>IF($A594="","",IF('Importar Reservas'!N586="",0,'Importar Reservas'!N586))</f>
        <v/>
      </c>
      <c r="F594" s="78">
        <f>IF($A594="","",IFERROR(INDEX(Configurações!$C$5:$C$100,MATCH($C594,Configurações!$A$5:$A$100,0)),"Margem"))</f>
        <v/>
      </c>
      <c r="G594" s="78">
        <f>IF($A594="","",IFERROR(INDEX(Configurações!$B$5:$B$100,MATCH($C594,Configurações!$A$5:$A$100,0)),0))</f>
        <v/>
      </c>
      <c r="H594" s="78">
        <f>IF(OR($A594="",'Importar Reservas'!M586&lt;&gt;"Aprovado",$D594&lt;=0),"",MAX(0,IF($F594="Margem",$D594-$E594,$D594))*$G594)</f>
        <v/>
      </c>
    </row>
    <row r="595" ht="15" customHeight="1" s="79">
      <c r="A595" s="78">
        <f>IF('Importar Reservas'!A587="","",'Importar Reservas'!A587)</f>
        <v/>
      </c>
      <c r="B595" s="78">
        <f>IF($A595="","",'Importar Reservas'!B587)</f>
        <v/>
      </c>
      <c r="C595" s="78">
        <f>IF($A595="","",'Importar Reservas'!Z587)</f>
        <v/>
      </c>
      <c r="D595" s="78">
        <f>IF($A595="","",IF('Importar Reservas'!O587="",0,'Importar Reservas'!O587))</f>
        <v/>
      </c>
      <c r="E595" s="78">
        <f>IF($A595="","",IF('Importar Reservas'!N587="",0,'Importar Reservas'!N587))</f>
        <v/>
      </c>
      <c r="F595" s="78">
        <f>IF($A595="","",IFERROR(INDEX(Configurações!$C$5:$C$100,MATCH($C595,Configurações!$A$5:$A$100,0)),"Margem"))</f>
        <v/>
      </c>
      <c r="G595" s="78">
        <f>IF($A595="","",IFERROR(INDEX(Configurações!$B$5:$B$100,MATCH($C595,Configurações!$A$5:$A$100,0)),0))</f>
        <v/>
      </c>
      <c r="H595" s="78">
        <f>IF(OR($A595="",'Importar Reservas'!M587&lt;&gt;"Aprovado",$D595&lt;=0),"",MAX(0,IF($F595="Margem",$D595-$E595,$D595))*$G595)</f>
        <v/>
      </c>
    </row>
    <row r="596" ht="15" customHeight="1" s="79">
      <c r="A596" s="78">
        <f>IF('Importar Reservas'!A588="","",'Importar Reservas'!A588)</f>
        <v/>
      </c>
      <c r="B596" s="78">
        <f>IF($A596="","",'Importar Reservas'!B588)</f>
        <v/>
      </c>
      <c r="C596" s="78">
        <f>IF($A596="","",'Importar Reservas'!Z588)</f>
        <v/>
      </c>
      <c r="D596" s="78">
        <f>IF($A596="","",IF('Importar Reservas'!O588="",0,'Importar Reservas'!O588))</f>
        <v/>
      </c>
      <c r="E596" s="78">
        <f>IF($A596="","",IF('Importar Reservas'!N588="",0,'Importar Reservas'!N588))</f>
        <v/>
      </c>
      <c r="F596" s="78">
        <f>IF($A596="","",IFERROR(INDEX(Configurações!$C$5:$C$100,MATCH($C596,Configurações!$A$5:$A$100,0)),"Margem"))</f>
        <v/>
      </c>
      <c r="G596" s="78">
        <f>IF($A596="","",IFERROR(INDEX(Configurações!$B$5:$B$100,MATCH($C596,Configurações!$A$5:$A$100,0)),0))</f>
        <v/>
      </c>
      <c r="H596" s="78">
        <f>IF(OR($A596="",'Importar Reservas'!M588&lt;&gt;"Aprovado",$D596&lt;=0),"",MAX(0,IF($F596="Margem",$D596-$E596,$D596))*$G596)</f>
        <v/>
      </c>
    </row>
    <row r="597" ht="15" customHeight="1" s="79">
      <c r="A597" s="78">
        <f>IF('Importar Reservas'!A589="","",'Importar Reservas'!A589)</f>
        <v/>
      </c>
      <c r="B597" s="78">
        <f>IF($A597="","",'Importar Reservas'!B589)</f>
        <v/>
      </c>
      <c r="C597" s="78">
        <f>IF($A597="","",'Importar Reservas'!Z589)</f>
        <v/>
      </c>
      <c r="D597" s="78">
        <f>IF($A597="","",IF('Importar Reservas'!O589="",0,'Importar Reservas'!O589))</f>
        <v/>
      </c>
      <c r="E597" s="78">
        <f>IF($A597="","",IF('Importar Reservas'!N589="",0,'Importar Reservas'!N589))</f>
        <v/>
      </c>
      <c r="F597" s="78">
        <f>IF($A597="","",IFERROR(INDEX(Configurações!$C$5:$C$100,MATCH($C597,Configurações!$A$5:$A$100,0)),"Margem"))</f>
        <v/>
      </c>
      <c r="G597" s="78">
        <f>IF($A597="","",IFERROR(INDEX(Configurações!$B$5:$B$100,MATCH($C597,Configurações!$A$5:$A$100,0)),0))</f>
        <v/>
      </c>
      <c r="H597" s="78">
        <f>IF(OR($A597="",'Importar Reservas'!M589&lt;&gt;"Aprovado",$D597&lt;=0),"",MAX(0,IF($F597="Margem",$D597-$E597,$D597))*$G597)</f>
        <v/>
      </c>
    </row>
    <row r="598" ht="15" customHeight="1" s="79">
      <c r="A598" s="78">
        <f>IF('Importar Reservas'!A590="","",'Importar Reservas'!A590)</f>
        <v/>
      </c>
      <c r="B598" s="78">
        <f>IF($A598="","",'Importar Reservas'!B590)</f>
        <v/>
      </c>
      <c r="C598" s="78">
        <f>IF($A598="","",'Importar Reservas'!Z590)</f>
        <v/>
      </c>
      <c r="D598" s="78">
        <f>IF($A598="","",IF('Importar Reservas'!O590="",0,'Importar Reservas'!O590))</f>
        <v/>
      </c>
      <c r="E598" s="78">
        <f>IF($A598="","",IF('Importar Reservas'!N590="",0,'Importar Reservas'!N590))</f>
        <v/>
      </c>
      <c r="F598" s="78">
        <f>IF($A598="","",IFERROR(INDEX(Configurações!$C$5:$C$100,MATCH($C598,Configurações!$A$5:$A$100,0)),"Margem"))</f>
        <v/>
      </c>
      <c r="G598" s="78">
        <f>IF($A598="","",IFERROR(INDEX(Configurações!$B$5:$B$100,MATCH($C598,Configurações!$A$5:$A$100,0)),0))</f>
        <v/>
      </c>
      <c r="H598" s="78">
        <f>IF(OR($A598="",'Importar Reservas'!M590&lt;&gt;"Aprovado",$D598&lt;=0),"",MAX(0,IF($F598="Margem",$D598-$E598,$D598))*$G598)</f>
        <v/>
      </c>
    </row>
    <row r="599" ht="15" customHeight="1" s="79">
      <c r="A599" s="78">
        <f>IF('Importar Reservas'!A591="","",'Importar Reservas'!A591)</f>
        <v/>
      </c>
      <c r="B599" s="78">
        <f>IF($A599="","",'Importar Reservas'!B591)</f>
        <v/>
      </c>
      <c r="C599" s="78">
        <f>IF($A599="","",'Importar Reservas'!Z591)</f>
        <v/>
      </c>
      <c r="D599" s="78">
        <f>IF($A599="","",IF('Importar Reservas'!O591="",0,'Importar Reservas'!O591))</f>
        <v/>
      </c>
      <c r="E599" s="78">
        <f>IF($A599="","",IF('Importar Reservas'!N591="",0,'Importar Reservas'!N591))</f>
        <v/>
      </c>
      <c r="F599" s="78">
        <f>IF($A599="","",IFERROR(INDEX(Configurações!$C$5:$C$100,MATCH($C599,Configurações!$A$5:$A$100,0)),"Margem"))</f>
        <v/>
      </c>
      <c r="G599" s="78">
        <f>IF($A599="","",IFERROR(INDEX(Configurações!$B$5:$B$100,MATCH($C599,Configurações!$A$5:$A$100,0)),0))</f>
        <v/>
      </c>
      <c r="H599" s="78">
        <f>IF(OR($A599="",'Importar Reservas'!M591&lt;&gt;"Aprovado",$D599&lt;=0),"",MAX(0,IF($F599="Margem",$D599-$E599,$D599))*$G599)</f>
        <v/>
      </c>
    </row>
    <row r="600" ht="15" customHeight="1" s="79">
      <c r="A600" s="78">
        <f>IF('Importar Reservas'!A592="","",'Importar Reservas'!A592)</f>
        <v/>
      </c>
      <c r="B600" s="78">
        <f>IF($A600="","",'Importar Reservas'!B592)</f>
        <v/>
      </c>
      <c r="C600" s="78">
        <f>IF($A600="","",'Importar Reservas'!Z592)</f>
        <v/>
      </c>
      <c r="D600" s="78">
        <f>IF($A600="","",IF('Importar Reservas'!O592="",0,'Importar Reservas'!O592))</f>
        <v/>
      </c>
      <c r="E600" s="78">
        <f>IF($A600="","",IF('Importar Reservas'!N592="",0,'Importar Reservas'!N592))</f>
        <v/>
      </c>
      <c r="F600" s="78">
        <f>IF($A600="","",IFERROR(INDEX(Configurações!$C$5:$C$100,MATCH($C600,Configurações!$A$5:$A$100,0)),"Margem"))</f>
        <v/>
      </c>
      <c r="G600" s="78">
        <f>IF($A600="","",IFERROR(INDEX(Configurações!$B$5:$B$100,MATCH($C600,Configurações!$A$5:$A$100,0)),0))</f>
        <v/>
      </c>
      <c r="H600" s="78">
        <f>IF(OR($A600="",'Importar Reservas'!M592&lt;&gt;"Aprovado",$D600&lt;=0),"",MAX(0,IF($F600="Margem",$D600-$E600,$D600))*$G600)</f>
        <v/>
      </c>
    </row>
    <row r="601" ht="15" customHeight="1" s="79">
      <c r="A601" s="78">
        <f>IF('Importar Reservas'!A593="","",'Importar Reservas'!A593)</f>
        <v/>
      </c>
      <c r="B601" s="78">
        <f>IF($A601="","",'Importar Reservas'!B593)</f>
        <v/>
      </c>
      <c r="C601" s="78">
        <f>IF($A601="","",'Importar Reservas'!Z593)</f>
        <v/>
      </c>
      <c r="D601" s="78">
        <f>IF($A601="","",IF('Importar Reservas'!O593="",0,'Importar Reservas'!O593))</f>
        <v/>
      </c>
      <c r="E601" s="78">
        <f>IF($A601="","",IF('Importar Reservas'!N593="",0,'Importar Reservas'!N593))</f>
        <v/>
      </c>
      <c r="F601" s="78">
        <f>IF($A601="","",IFERROR(INDEX(Configurações!$C$5:$C$100,MATCH($C601,Configurações!$A$5:$A$100,0)),"Margem"))</f>
        <v/>
      </c>
      <c r="G601" s="78">
        <f>IF($A601="","",IFERROR(INDEX(Configurações!$B$5:$B$100,MATCH($C601,Configurações!$A$5:$A$100,0)),0))</f>
        <v/>
      </c>
      <c r="H601" s="78">
        <f>IF(OR($A601="",'Importar Reservas'!M593&lt;&gt;"Aprovado",$D601&lt;=0),"",MAX(0,IF($F601="Margem",$D601-$E601,$D601))*$G601)</f>
        <v/>
      </c>
    </row>
    <row r="602" ht="15" customHeight="1" s="79">
      <c r="A602" s="78">
        <f>IF('Importar Reservas'!A594="","",'Importar Reservas'!A594)</f>
        <v/>
      </c>
      <c r="B602" s="78">
        <f>IF($A602="","",'Importar Reservas'!B594)</f>
        <v/>
      </c>
      <c r="C602" s="78">
        <f>IF($A602="","",'Importar Reservas'!Z594)</f>
        <v/>
      </c>
      <c r="D602" s="78">
        <f>IF($A602="","",IF('Importar Reservas'!O594="",0,'Importar Reservas'!O594))</f>
        <v/>
      </c>
      <c r="E602" s="78">
        <f>IF($A602="","",IF('Importar Reservas'!N594="",0,'Importar Reservas'!N594))</f>
        <v/>
      </c>
      <c r="F602" s="78">
        <f>IF($A602="","",IFERROR(INDEX(Configurações!$C$5:$C$100,MATCH($C602,Configurações!$A$5:$A$100,0)),"Margem"))</f>
        <v/>
      </c>
      <c r="G602" s="78">
        <f>IF($A602="","",IFERROR(INDEX(Configurações!$B$5:$B$100,MATCH($C602,Configurações!$A$5:$A$100,0)),0))</f>
        <v/>
      </c>
      <c r="H602" s="78">
        <f>IF(OR($A602="",'Importar Reservas'!M594&lt;&gt;"Aprovado",$D602&lt;=0),"",MAX(0,IF($F602="Margem",$D602-$E602,$D602))*$G602)</f>
        <v/>
      </c>
    </row>
    <row r="603" ht="15" customHeight="1" s="79">
      <c r="A603" s="78">
        <f>IF('Importar Reservas'!A595="","",'Importar Reservas'!A595)</f>
        <v/>
      </c>
      <c r="B603" s="78">
        <f>IF($A603="","",'Importar Reservas'!B595)</f>
        <v/>
      </c>
      <c r="C603" s="78">
        <f>IF($A603="","",'Importar Reservas'!Z595)</f>
        <v/>
      </c>
      <c r="D603" s="78">
        <f>IF($A603="","",IF('Importar Reservas'!O595="",0,'Importar Reservas'!O595))</f>
        <v/>
      </c>
      <c r="E603" s="78">
        <f>IF($A603="","",IF('Importar Reservas'!N595="",0,'Importar Reservas'!N595))</f>
        <v/>
      </c>
      <c r="F603" s="78">
        <f>IF($A603="","",IFERROR(INDEX(Configurações!$C$5:$C$100,MATCH($C603,Configurações!$A$5:$A$100,0)),"Margem"))</f>
        <v/>
      </c>
      <c r="G603" s="78">
        <f>IF($A603="","",IFERROR(INDEX(Configurações!$B$5:$B$100,MATCH($C603,Configurações!$A$5:$A$100,0)),0))</f>
        <v/>
      </c>
      <c r="H603" s="78">
        <f>IF(OR($A603="",'Importar Reservas'!M595&lt;&gt;"Aprovado",$D603&lt;=0),"",MAX(0,IF($F603="Margem",$D603-$E603,$D603))*$G603)</f>
        <v/>
      </c>
    </row>
    <row r="604" ht="15" customHeight="1" s="79">
      <c r="A604" s="78">
        <f>IF('Importar Reservas'!A596="","",'Importar Reservas'!A596)</f>
        <v/>
      </c>
      <c r="B604" s="78">
        <f>IF($A604="","",'Importar Reservas'!B596)</f>
        <v/>
      </c>
      <c r="C604" s="78">
        <f>IF($A604="","",'Importar Reservas'!Z596)</f>
        <v/>
      </c>
      <c r="D604" s="78">
        <f>IF($A604="","",IF('Importar Reservas'!O596="",0,'Importar Reservas'!O596))</f>
        <v/>
      </c>
      <c r="E604" s="78">
        <f>IF($A604="","",IF('Importar Reservas'!N596="",0,'Importar Reservas'!N596))</f>
        <v/>
      </c>
      <c r="F604" s="78">
        <f>IF($A604="","",IFERROR(INDEX(Configurações!$C$5:$C$100,MATCH($C604,Configurações!$A$5:$A$100,0)),"Margem"))</f>
        <v/>
      </c>
      <c r="G604" s="78">
        <f>IF($A604="","",IFERROR(INDEX(Configurações!$B$5:$B$100,MATCH($C604,Configurações!$A$5:$A$100,0)),0))</f>
        <v/>
      </c>
      <c r="H604" s="78">
        <f>IF(OR($A604="",'Importar Reservas'!M596&lt;&gt;"Aprovado",$D604&lt;=0),"",MAX(0,IF($F604="Margem",$D604-$E604,$D604))*$G604)</f>
        <v/>
      </c>
    </row>
    <row r="605" ht="15" customHeight="1" s="79">
      <c r="A605" s="78">
        <f>IF('Importar Reservas'!A597="","",'Importar Reservas'!A597)</f>
        <v/>
      </c>
      <c r="B605" s="78">
        <f>IF($A605="","",'Importar Reservas'!B597)</f>
        <v/>
      </c>
      <c r="C605" s="78">
        <f>IF($A605="","",'Importar Reservas'!Z597)</f>
        <v/>
      </c>
      <c r="D605" s="78">
        <f>IF($A605="","",IF('Importar Reservas'!O597="",0,'Importar Reservas'!O597))</f>
        <v/>
      </c>
      <c r="E605" s="78">
        <f>IF($A605="","",IF('Importar Reservas'!N597="",0,'Importar Reservas'!N597))</f>
        <v/>
      </c>
      <c r="F605" s="78">
        <f>IF($A605="","",IFERROR(INDEX(Configurações!$C$5:$C$100,MATCH($C605,Configurações!$A$5:$A$100,0)),"Margem"))</f>
        <v/>
      </c>
      <c r="G605" s="78">
        <f>IF($A605="","",IFERROR(INDEX(Configurações!$B$5:$B$100,MATCH($C605,Configurações!$A$5:$A$100,0)),0))</f>
        <v/>
      </c>
      <c r="H605" s="78">
        <f>IF(OR($A605="",'Importar Reservas'!M597&lt;&gt;"Aprovado",$D605&lt;=0),"",MAX(0,IF($F605="Margem",$D605-$E605,$D605))*$G605)</f>
        <v/>
      </c>
    </row>
    <row r="606" ht="15" customHeight="1" s="79">
      <c r="A606" s="78">
        <f>IF('Importar Reservas'!A598="","",'Importar Reservas'!A598)</f>
        <v/>
      </c>
      <c r="B606" s="78">
        <f>IF($A606="","",'Importar Reservas'!B598)</f>
        <v/>
      </c>
      <c r="C606" s="78">
        <f>IF($A606="","",'Importar Reservas'!Z598)</f>
        <v/>
      </c>
      <c r="D606" s="78">
        <f>IF($A606="","",IF('Importar Reservas'!O598="",0,'Importar Reservas'!O598))</f>
        <v/>
      </c>
      <c r="E606" s="78">
        <f>IF($A606="","",IF('Importar Reservas'!N598="",0,'Importar Reservas'!N598))</f>
        <v/>
      </c>
      <c r="F606" s="78">
        <f>IF($A606="","",IFERROR(INDEX(Configurações!$C$5:$C$100,MATCH($C606,Configurações!$A$5:$A$100,0)),"Margem"))</f>
        <v/>
      </c>
      <c r="G606" s="78">
        <f>IF($A606="","",IFERROR(INDEX(Configurações!$B$5:$B$100,MATCH($C606,Configurações!$A$5:$A$100,0)),0))</f>
        <v/>
      </c>
      <c r="H606" s="78">
        <f>IF(OR($A606="",'Importar Reservas'!M598&lt;&gt;"Aprovado",$D606&lt;=0),"",MAX(0,IF($F606="Margem",$D606-$E606,$D606))*$G606)</f>
        <v/>
      </c>
    </row>
    <row r="607" ht="15" customHeight="1" s="79">
      <c r="A607" s="78">
        <f>IF('Importar Reservas'!A599="","",'Importar Reservas'!A599)</f>
        <v/>
      </c>
      <c r="B607" s="78">
        <f>IF($A607="","",'Importar Reservas'!B599)</f>
        <v/>
      </c>
      <c r="C607" s="78">
        <f>IF($A607="","",'Importar Reservas'!Z599)</f>
        <v/>
      </c>
      <c r="D607" s="78">
        <f>IF($A607="","",IF('Importar Reservas'!O599="",0,'Importar Reservas'!O599))</f>
        <v/>
      </c>
      <c r="E607" s="78">
        <f>IF($A607="","",IF('Importar Reservas'!N599="",0,'Importar Reservas'!N599))</f>
        <v/>
      </c>
      <c r="F607" s="78">
        <f>IF($A607="","",IFERROR(INDEX(Configurações!$C$5:$C$100,MATCH($C607,Configurações!$A$5:$A$100,0)),"Margem"))</f>
        <v/>
      </c>
      <c r="G607" s="78">
        <f>IF($A607="","",IFERROR(INDEX(Configurações!$B$5:$B$100,MATCH($C607,Configurações!$A$5:$A$100,0)),0))</f>
        <v/>
      </c>
      <c r="H607" s="78">
        <f>IF(OR($A607="",'Importar Reservas'!M599&lt;&gt;"Aprovado",$D607&lt;=0),"",MAX(0,IF($F607="Margem",$D607-$E607,$D607))*$G607)</f>
        <v/>
      </c>
    </row>
    <row r="608" ht="15" customHeight="1" s="79">
      <c r="A608" s="78">
        <f>IF('Importar Reservas'!A600="","",'Importar Reservas'!A600)</f>
        <v/>
      </c>
      <c r="B608" s="78">
        <f>IF($A608="","",'Importar Reservas'!B600)</f>
        <v/>
      </c>
      <c r="C608" s="78">
        <f>IF($A608="","",'Importar Reservas'!Z600)</f>
        <v/>
      </c>
      <c r="D608" s="78">
        <f>IF($A608="","",IF('Importar Reservas'!O600="",0,'Importar Reservas'!O600))</f>
        <v/>
      </c>
      <c r="E608" s="78">
        <f>IF($A608="","",IF('Importar Reservas'!N600="",0,'Importar Reservas'!N600))</f>
        <v/>
      </c>
      <c r="F608" s="78">
        <f>IF($A608="","",IFERROR(INDEX(Configurações!$C$5:$C$100,MATCH($C608,Configurações!$A$5:$A$100,0)),"Margem"))</f>
        <v/>
      </c>
      <c r="G608" s="78">
        <f>IF($A608="","",IFERROR(INDEX(Configurações!$B$5:$B$100,MATCH($C608,Configurações!$A$5:$A$100,0)),0))</f>
        <v/>
      </c>
      <c r="H608" s="78">
        <f>IF(OR($A608="",'Importar Reservas'!M600&lt;&gt;"Aprovado",$D608&lt;=0),"",MAX(0,IF($F608="Margem",$D608-$E608,$D608))*$G608)</f>
        <v/>
      </c>
    </row>
    <row r="609" ht="15" customHeight="1" s="79">
      <c r="A609" s="78">
        <f>IF('Importar Reservas'!A601="","",'Importar Reservas'!A601)</f>
        <v/>
      </c>
      <c r="B609" s="78">
        <f>IF($A609="","",'Importar Reservas'!B601)</f>
        <v/>
      </c>
      <c r="C609" s="78">
        <f>IF($A609="","",'Importar Reservas'!Z601)</f>
        <v/>
      </c>
      <c r="D609" s="78">
        <f>IF($A609="","",IF('Importar Reservas'!O601="",0,'Importar Reservas'!O601))</f>
        <v/>
      </c>
      <c r="E609" s="78">
        <f>IF($A609="","",IF('Importar Reservas'!N601="",0,'Importar Reservas'!N601))</f>
        <v/>
      </c>
      <c r="F609" s="78">
        <f>IF($A609="","",IFERROR(INDEX(Configurações!$C$5:$C$100,MATCH($C609,Configurações!$A$5:$A$100,0)),"Margem"))</f>
        <v/>
      </c>
      <c r="G609" s="78">
        <f>IF($A609="","",IFERROR(INDEX(Configurações!$B$5:$B$100,MATCH($C609,Configurações!$A$5:$A$100,0)),0))</f>
        <v/>
      </c>
      <c r="H609" s="78">
        <f>IF(OR($A609="",'Importar Reservas'!M601&lt;&gt;"Aprovado",$D609&lt;=0),"",MAX(0,IF($F609="Margem",$D609-$E609,$D609))*$G609)</f>
        <v/>
      </c>
    </row>
    <row r="610" ht="15" customHeight="1" s="79">
      <c r="A610" s="78">
        <f>IF('Importar Reservas'!A602="","",'Importar Reservas'!A602)</f>
        <v/>
      </c>
      <c r="B610" s="78">
        <f>IF($A610="","",'Importar Reservas'!B602)</f>
        <v/>
      </c>
      <c r="C610" s="78">
        <f>IF($A610="","",'Importar Reservas'!Z602)</f>
        <v/>
      </c>
      <c r="D610" s="78">
        <f>IF($A610="","",IF('Importar Reservas'!O602="",0,'Importar Reservas'!O602))</f>
        <v/>
      </c>
      <c r="E610" s="78">
        <f>IF($A610="","",IF('Importar Reservas'!N602="",0,'Importar Reservas'!N602))</f>
        <v/>
      </c>
      <c r="F610" s="78">
        <f>IF($A610="","",IFERROR(INDEX(Configurações!$C$5:$C$100,MATCH($C610,Configurações!$A$5:$A$100,0)),"Margem"))</f>
        <v/>
      </c>
      <c r="G610" s="78">
        <f>IF($A610="","",IFERROR(INDEX(Configurações!$B$5:$B$100,MATCH($C610,Configurações!$A$5:$A$100,0)),0))</f>
        <v/>
      </c>
      <c r="H610" s="78">
        <f>IF(OR($A610="",'Importar Reservas'!M602&lt;&gt;"Aprovado",$D610&lt;=0),"",MAX(0,IF($F610="Margem",$D610-$E610,$D610))*$G610)</f>
        <v/>
      </c>
    </row>
    <row r="611" ht="15" customHeight="1" s="79">
      <c r="A611" s="78">
        <f>IF('Importar Reservas'!A603="","",'Importar Reservas'!A603)</f>
        <v/>
      </c>
      <c r="B611" s="78">
        <f>IF($A611="","",'Importar Reservas'!B603)</f>
        <v/>
      </c>
      <c r="C611" s="78">
        <f>IF($A611="","",'Importar Reservas'!Z603)</f>
        <v/>
      </c>
      <c r="D611" s="78">
        <f>IF($A611="","",IF('Importar Reservas'!O603="",0,'Importar Reservas'!O603))</f>
        <v/>
      </c>
      <c r="E611" s="78">
        <f>IF($A611="","",IF('Importar Reservas'!N603="",0,'Importar Reservas'!N603))</f>
        <v/>
      </c>
      <c r="F611" s="78">
        <f>IF($A611="","",IFERROR(INDEX(Configurações!$C$5:$C$100,MATCH($C611,Configurações!$A$5:$A$100,0)),"Margem"))</f>
        <v/>
      </c>
      <c r="G611" s="78">
        <f>IF($A611="","",IFERROR(INDEX(Configurações!$B$5:$B$100,MATCH($C611,Configurações!$A$5:$A$100,0)),0))</f>
        <v/>
      </c>
      <c r="H611" s="78">
        <f>IF(OR($A611="",'Importar Reservas'!M603&lt;&gt;"Aprovado",$D611&lt;=0),"",MAX(0,IF($F611="Margem",$D611-$E611,$D611))*$G611)</f>
        <v/>
      </c>
    </row>
    <row r="612" ht="15" customHeight="1" s="79">
      <c r="A612" s="78">
        <f>IF('Importar Reservas'!A604="","",'Importar Reservas'!A604)</f>
        <v/>
      </c>
      <c r="B612" s="78">
        <f>IF($A612="","",'Importar Reservas'!B604)</f>
        <v/>
      </c>
      <c r="C612" s="78">
        <f>IF($A612="","",'Importar Reservas'!Z604)</f>
        <v/>
      </c>
      <c r="D612" s="78">
        <f>IF($A612="","",IF('Importar Reservas'!O604="",0,'Importar Reservas'!O604))</f>
        <v/>
      </c>
      <c r="E612" s="78">
        <f>IF($A612="","",IF('Importar Reservas'!N604="",0,'Importar Reservas'!N604))</f>
        <v/>
      </c>
      <c r="F612" s="78">
        <f>IF($A612="","",IFERROR(INDEX(Configurações!$C$5:$C$100,MATCH($C612,Configurações!$A$5:$A$100,0)),"Margem"))</f>
        <v/>
      </c>
      <c r="G612" s="78">
        <f>IF($A612="","",IFERROR(INDEX(Configurações!$B$5:$B$100,MATCH($C612,Configurações!$A$5:$A$100,0)),0))</f>
        <v/>
      </c>
      <c r="H612" s="78">
        <f>IF(OR($A612="",'Importar Reservas'!M604&lt;&gt;"Aprovado",$D612&lt;=0),"",MAX(0,IF($F612="Margem",$D612-$E612,$D612))*$G612)</f>
        <v/>
      </c>
    </row>
    <row r="613" ht="15" customHeight="1" s="79">
      <c r="A613" s="78">
        <f>IF('Importar Reservas'!A605="","",'Importar Reservas'!A605)</f>
        <v/>
      </c>
      <c r="B613" s="78">
        <f>IF($A613="","",'Importar Reservas'!B605)</f>
        <v/>
      </c>
      <c r="C613" s="78">
        <f>IF($A613="","",'Importar Reservas'!Z605)</f>
        <v/>
      </c>
      <c r="D613" s="78">
        <f>IF($A613="","",IF('Importar Reservas'!O605="",0,'Importar Reservas'!O605))</f>
        <v/>
      </c>
      <c r="E613" s="78">
        <f>IF($A613="","",IF('Importar Reservas'!N605="",0,'Importar Reservas'!N605))</f>
        <v/>
      </c>
      <c r="F613" s="78">
        <f>IF($A613="","",IFERROR(INDEX(Configurações!$C$5:$C$100,MATCH($C613,Configurações!$A$5:$A$100,0)),"Margem"))</f>
        <v/>
      </c>
      <c r="G613" s="78">
        <f>IF($A613="","",IFERROR(INDEX(Configurações!$B$5:$B$100,MATCH($C613,Configurações!$A$5:$A$100,0)),0))</f>
        <v/>
      </c>
      <c r="H613" s="78">
        <f>IF(OR($A613="",'Importar Reservas'!M605&lt;&gt;"Aprovado",$D613&lt;=0),"",MAX(0,IF($F613="Margem",$D613-$E613,$D613))*$G613)</f>
        <v/>
      </c>
    </row>
    <row r="614" ht="15" customHeight="1" s="79">
      <c r="A614" s="78">
        <f>IF('Importar Reservas'!A606="","",'Importar Reservas'!A606)</f>
        <v/>
      </c>
      <c r="B614" s="78">
        <f>IF($A614="","",'Importar Reservas'!B606)</f>
        <v/>
      </c>
      <c r="C614" s="78">
        <f>IF($A614="","",'Importar Reservas'!Z606)</f>
        <v/>
      </c>
      <c r="D614" s="78">
        <f>IF($A614="","",IF('Importar Reservas'!O606="",0,'Importar Reservas'!O606))</f>
        <v/>
      </c>
      <c r="E614" s="78">
        <f>IF($A614="","",IF('Importar Reservas'!N606="",0,'Importar Reservas'!N606))</f>
        <v/>
      </c>
      <c r="F614" s="78">
        <f>IF($A614="","",IFERROR(INDEX(Configurações!$C$5:$C$100,MATCH($C614,Configurações!$A$5:$A$100,0)),"Margem"))</f>
        <v/>
      </c>
      <c r="G614" s="78">
        <f>IF($A614="","",IFERROR(INDEX(Configurações!$B$5:$B$100,MATCH($C614,Configurações!$A$5:$A$100,0)),0))</f>
        <v/>
      </c>
      <c r="H614" s="78">
        <f>IF(OR($A614="",'Importar Reservas'!M606&lt;&gt;"Aprovado",$D614&lt;=0),"",MAX(0,IF($F614="Margem",$D614-$E614,$D614))*$G614)</f>
        <v/>
      </c>
    </row>
    <row r="615" ht="15" customHeight="1" s="79">
      <c r="A615" s="78">
        <f>IF('Importar Reservas'!A607="","",'Importar Reservas'!A607)</f>
        <v/>
      </c>
      <c r="B615" s="78">
        <f>IF($A615="","",'Importar Reservas'!B607)</f>
        <v/>
      </c>
      <c r="C615" s="78">
        <f>IF($A615="","",'Importar Reservas'!Z607)</f>
        <v/>
      </c>
      <c r="D615" s="78">
        <f>IF($A615="","",IF('Importar Reservas'!O607="",0,'Importar Reservas'!O607))</f>
        <v/>
      </c>
      <c r="E615" s="78">
        <f>IF($A615="","",IF('Importar Reservas'!N607="",0,'Importar Reservas'!N607))</f>
        <v/>
      </c>
      <c r="F615" s="78">
        <f>IF($A615="","",IFERROR(INDEX(Configurações!$C$5:$C$100,MATCH($C615,Configurações!$A$5:$A$100,0)),"Margem"))</f>
        <v/>
      </c>
      <c r="G615" s="78">
        <f>IF($A615="","",IFERROR(INDEX(Configurações!$B$5:$B$100,MATCH($C615,Configurações!$A$5:$A$100,0)),0))</f>
        <v/>
      </c>
      <c r="H615" s="78">
        <f>IF(OR($A615="",'Importar Reservas'!M607&lt;&gt;"Aprovado",$D615&lt;=0),"",MAX(0,IF($F615="Margem",$D615-$E615,$D615))*$G615)</f>
        <v/>
      </c>
    </row>
    <row r="616" ht="15" customHeight="1" s="79">
      <c r="A616" s="78">
        <f>IF('Importar Reservas'!A608="","",'Importar Reservas'!A608)</f>
        <v/>
      </c>
      <c r="B616" s="78">
        <f>IF($A616="","",'Importar Reservas'!B608)</f>
        <v/>
      </c>
      <c r="C616" s="78">
        <f>IF($A616="","",'Importar Reservas'!Z608)</f>
        <v/>
      </c>
      <c r="D616" s="78">
        <f>IF($A616="","",IF('Importar Reservas'!O608="",0,'Importar Reservas'!O608))</f>
        <v/>
      </c>
      <c r="E616" s="78">
        <f>IF($A616="","",IF('Importar Reservas'!N608="",0,'Importar Reservas'!N608))</f>
        <v/>
      </c>
      <c r="F616" s="78">
        <f>IF($A616="","",IFERROR(INDEX(Configurações!$C$5:$C$100,MATCH($C616,Configurações!$A$5:$A$100,0)),"Margem"))</f>
        <v/>
      </c>
      <c r="G616" s="78">
        <f>IF($A616="","",IFERROR(INDEX(Configurações!$B$5:$B$100,MATCH($C616,Configurações!$A$5:$A$100,0)),0))</f>
        <v/>
      </c>
      <c r="H616" s="78">
        <f>IF(OR($A616="",'Importar Reservas'!M608&lt;&gt;"Aprovado",$D616&lt;=0),"",MAX(0,IF($F616="Margem",$D616-$E616,$D616))*$G616)</f>
        <v/>
      </c>
    </row>
    <row r="617" ht="15" customHeight="1" s="79">
      <c r="A617" s="78">
        <f>IF('Importar Reservas'!A609="","",'Importar Reservas'!A609)</f>
        <v/>
      </c>
      <c r="B617" s="78">
        <f>IF($A617="","",'Importar Reservas'!B609)</f>
        <v/>
      </c>
      <c r="C617" s="78">
        <f>IF($A617="","",'Importar Reservas'!Z609)</f>
        <v/>
      </c>
      <c r="D617" s="78">
        <f>IF($A617="","",IF('Importar Reservas'!O609="",0,'Importar Reservas'!O609))</f>
        <v/>
      </c>
      <c r="E617" s="78">
        <f>IF($A617="","",IF('Importar Reservas'!N609="",0,'Importar Reservas'!N609))</f>
        <v/>
      </c>
      <c r="F617" s="78">
        <f>IF($A617="","",IFERROR(INDEX(Configurações!$C$5:$C$100,MATCH($C617,Configurações!$A$5:$A$100,0)),"Margem"))</f>
        <v/>
      </c>
      <c r="G617" s="78">
        <f>IF($A617="","",IFERROR(INDEX(Configurações!$B$5:$B$100,MATCH($C617,Configurações!$A$5:$A$100,0)),0))</f>
        <v/>
      </c>
      <c r="H617" s="78">
        <f>IF(OR($A617="",'Importar Reservas'!M609&lt;&gt;"Aprovado",$D617&lt;=0),"",MAX(0,IF($F617="Margem",$D617-$E617,$D617))*$G617)</f>
        <v/>
      </c>
    </row>
    <row r="618" ht="15" customHeight="1" s="79">
      <c r="A618" s="78">
        <f>IF('Importar Reservas'!A610="","",'Importar Reservas'!A610)</f>
        <v/>
      </c>
      <c r="B618" s="78">
        <f>IF($A618="","",'Importar Reservas'!B610)</f>
        <v/>
      </c>
      <c r="C618" s="78">
        <f>IF($A618="","",'Importar Reservas'!Z610)</f>
        <v/>
      </c>
      <c r="D618" s="78">
        <f>IF($A618="","",IF('Importar Reservas'!O610="",0,'Importar Reservas'!O610))</f>
        <v/>
      </c>
      <c r="E618" s="78">
        <f>IF($A618="","",IF('Importar Reservas'!N610="",0,'Importar Reservas'!N610))</f>
        <v/>
      </c>
      <c r="F618" s="78">
        <f>IF($A618="","",IFERROR(INDEX(Configurações!$C$5:$C$100,MATCH($C618,Configurações!$A$5:$A$100,0)),"Margem"))</f>
        <v/>
      </c>
      <c r="G618" s="78">
        <f>IF($A618="","",IFERROR(INDEX(Configurações!$B$5:$B$100,MATCH($C618,Configurações!$A$5:$A$100,0)),0))</f>
        <v/>
      </c>
      <c r="H618" s="78">
        <f>IF(OR($A618="",'Importar Reservas'!M610&lt;&gt;"Aprovado",$D618&lt;=0),"",MAX(0,IF($F618="Margem",$D618-$E618,$D618))*$G618)</f>
        <v/>
      </c>
    </row>
    <row r="619" ht="15" customHeight="1" s="79">
      <c r="A619" s="78">
        <f>IF('Importar Reservas'!A611="","",'Importar Reservas'!A611)</f>
        <v/>
      </c>
      <c r="B619" s="78">
        <f>IF($A619="","",'Importar Reservas'!B611)</f>
        <v/>
      </c>
      <c r="C619" s="78">
        <f>IF($A619="","",'Importar Reservas'!Z611)</f>
        <v/>
      </c>
      <c r="D619" s="78">
        <f>IF($A619="","",IF('Importar Reservas'!O611="",0,'Importar Reservas'!O611))</f>
        <v/>
      </c>
      <c r="E619" s="78">
        <f>IF($A619="","",IF('Importar Reservas'!N611="",0,'Importar Reservas'!N611))</f>
        <v/>
      </c>
      <c r="F619" s="78">
        <f>IF($A619="","",IFERROR(INDEX(Configurações!$C$5:$C$100,MATCH($C619,Configurações!$A$5:$A$100,0)),"Margem"))</f>
        <v/>
      </c>
      <c r="G619" s="78">
        <f>IF($A619="","",IFERROR(INDEX(Configurações!$B$5:$B$100,MATCH($C619,Configurações!$A$5:$A$100,0)),0))</f>
        <v/>
      </c>
      <c r="H619" s="78">
        <f>IF(OR($A619="",'Importar Reservas'!M611&lt;&gt;"Aprovado",$D619&lt;=0),"",MAX(0,IF($F619="Margem",$D619-$E619,$D619))*$G619)</f>
        <v/>
      </c>
    </row>
    <row r="620" ht="15" customHeight="1" s="79">
      <c r="A620" s="78">
        <f>IF('Importar Reservas'!A612="","",'Importar Reservas'!A612)</f>
        <v/>
      </c>
      <c r="B620" s="78">
        <f>IF($A620="","",'Importar Reservas'!B612)</f>
        <v/>
      </c>
      <c r="C620" s="78">
        <f>IF($A620="","",'Importar Reservas'!Z612)</f>
        <v/>
      </c>
      <c r="D620" s="78">
        <f>IF($A620="","",IF('Importar Reservas'!O612="",0,'Importar Reservas'!O612))</f>
        <v/>
      </c>
      <c r="E620" s="78">
        <f>IF($A620="","",IF('Importar Reservas'!N612="",0,'Importar Reservas'!N612))</f>
        <v/>
      </c>
      <c r="F620" s="78">
        <f>IF($A620="","",IFERROR(INDEX(Configurações!$C$5:$C$100,MATCH($C620,Configurações!$A$5:$A$100,0)),"Margem"))</f>
        <v/>
      </c>
      <c r="G620" s="78">
        <f>IF($A620="","",IFERROR(INDEX(Configurações!$B$5:$B$100,MATCH($C620,Configurações!$A$5:$A$100,0)),0))</f>
        <v/>
      </c>
      <c r="H620" s="78">
        <f>IF(OR($A620="",'Importar Reservas'!M612&lt;&gt;"Aprovado",$D620&lt;=0),"",MAX(0,IF($F620="Margem",$D620-$E620,$D620))*$G620)</f>
        <v/>
      </c>
    </row>
    <row r="621" ht="15" customHeight="1" s="79">
      <c r="A621" s="78">
        <f>IF('Importar Reservas'!A613="","",'Importar Reservas'!A613)</f>
        <v/>
      </c>
      <c r="B621" s="78">
        <f>IF($A621="","",'Importar Reservas'!B613)</f>
        <v/>
      </c>
      <c r="C621" s="78">
        <f>IF($A621="","",'Importar Reservas'!Z613)</f>
        <v/>
      </c>
      <c r="D621" s="78">
        <f>IF($A621="","",IF('Importar Reservas'!O613="",0,'Importar Reservas'!O613))</f>
        <v/>
      </c>
      <c r="E621" s="78">
        <f>IF($A621="","",IF('Importar Reservas'!N613="",0,'Importar Reservas'!N613))</f>
        <v/>
      </c>
      <c r="F621" s="78">
        <f>IF($A621="","",IFERROR(INDEX(Configurações!$C$5:$C$100,MATCH($C621,Configurações!$A$5:$A$100,0)),"Margem"))</f>
        <v/>
      </c>
      <c r="G621" s="78">
        <f>IF($A621="","",IFERROR(INDEX(Configurações!$B$5:$B$100,MATCH($C621,Configurações!$A$5:$A$100,0)),0))</f>
        <v/>
      </c>
      <c r="H621" s="78">
        <f>IF(OR($A621="",'Importar Reservas'!M613&lt;&gt;"Aprovado",$D621&lt;=0),"",MAX(0,IF($F621="Margem",$D621-$E621,$D621))*$G621)</f>
        <v/>
      </c>
    </row>
    <row r="622" ht="15" customHeight="1" s="79">
      <c r="A622" s="78">
        <f>IF('Importar Reservas'!A614="","",'Importar Reservas'!A614)</f>
        <v/>
      </c>
      <c r="B622" s="78">
        <f>IF($A622="","",'Importar Reservas'!B614)</f>
        <v/>
      </c>
      <c r="C622" s="78">
        <f>IF($A622="","",'Importar Reservas'!Z614)</f>
        <v/>
      </c>
      <c r="D622" s="78">
        <f>IF($A622="","",IF('Importar Reservas'!O614="",0,'Importar Reservas'!O614))</f>
        <v/>
      </c>
      <c r="E622" s="78">
        <f>IF($A622="","",IF('Importar Reservas'!N614="",0,'Importar Reservas'!N614))</f>
        <v/>
      </c>
      <c r="F622" s="78">
        <f>IF($A622="","",IFERROR(INDEX(Configurações!$C$5:$C$100,MATCH($C622,Configurações!$A$5:$A$100,0)),"Margem"))</f>
        <v/>
      </c>
      <c r="G622" s="78">
        <f>IF($A622="","",IFERROR(INDEX(Configurações!$B$5:$B$100,MATCH($C622,Configurações!$A$5:$A$100,0)),0))</f>
        <v/>
      </c>
      <c r="H622" s="78">
        <f>IF(OR($A622="",'Importar Reservas'!M614&lt;&gt;"Aprovado",$D622&lt;=0),"",MAX(0,IF($F622="Margem",$D622-$E622,$D622))*$G622)</f>
        <v/>
      </c>
    </row>
    <row r="623" ht="15" customHeight="1" s="79">
      <c r="A623" s="78">
        <f>IF('Importar Reservas'!A615="","",'Importar Reservas'!A615)</f>
        <v/>
      </c>
      <c r="B623" s="78">
        <f>IF($A623="","",'Importar Reservas'!B615)</f>
        <v/>
      </c>
      <c r="C623" s="78">
        <f>IF($A623="","",'Importar Reservas'!Z615)</f>
        <v/>
      </c>
      <c r="D623" s="78">
        <f>IF($A623="","",IF('Importar Reservas'!O615="",0,'Importar Reservas'!O615))</f>
        <v/>
      </c>
      <c r="E623" s="78">
        <f>IF($A623="","",IF('Importar Reservas'!N615="",0,'Importar Reservas'!N615))</f>
        <v/>
      </c>
      <c r="F623" s="78">
        <f>IF($A623="","",IFERROR(INDEX(Configurações!$C$5:$C$100,MATCH($C623,Configurações!$A$5:$A$100,0)),"Margem"))</f>
        <v/>
      </c>
      <c r="G623" s="78">
        <f>IF($A623="","",IFERROR(INDEX(Configurações!$B$5:$B$100,MATCH($C623,Configurações!$A$5:$A$100,0)),0))</f>
        <v/>
      </c>
      <c r="H623" s="78">
        <f>IF(OR($A623="",'Importar Reservas'!M615&lt;&gt;"Aprovado",$D623&lt;=0),"",MAX(0,IF($F623="Margem",$D623-$E623,$D623))*$G623)</f>
        <v/>
      </c>
    </row>
    <row r="624" ht="15" customHeight="1" s="79">
      <c r="A624" s="78">
        <f>IF('Importar Reservas'!A616="","",'Importar Reservas'!A616)</f>
        <v/>
      </c>
      <c r="B624" s="78">
        <f>IF($A624="","",'Importar Reservas'!B616)</f>
        <v/>
      </c>
      <c r="C624" s="78">
        <f>IF($A624="","",'Importar Reservas'!Z616)</f>
        <v/>
      </c>
      <c r="D624" s="78">
        <f>IF($A624="","",IF('Importar Reservas'!O616="",0,'Importar Reservas'!O616))</f>
        <v/>
      </c>
      <c r="E624" s="78">
        <f>IF($A624="","",IF('Importar Reservas'!N616="",0,'Importar Reservas'!N616))</f>
        <v/>
      </c>
      <c r="F624" s="78">
        <f>IF($A624="","",IFERROR(INDEX(Configurações!$C$5:$C$100,MATCH($C624,Configurações!$A$5:$A$100,0)),"Margem"))</f>
        <v/>
      </c>
      <c r="G624" s="78">
        <f>IF($A624="","",IFERROR(INDEX(Configurações!$B$5:$B$100,MATCH($C624,Configurações!$A$5:$A$100,0)),0))</f>
        <v/>
      </c>
      <c r="H624" s="78">
        <f>IF(OR($A624="",'Importar Reservas'!M616&lt;&gt;"Aprovado",$D624&lt;=0),"",MAX(0,IF($F624="Margem",$D624-$E624,$D624))*$G624)</f>
        <v/>
      </c>
    </row>
    <row r="625" ht="15" customHeight="1" s="79">
      <c r="A625" s="78">
        <f>IF('Importar Reservas'!A617="","",'Importar Reservas'!A617)</f>
        <v/>
      </c>
      <c r="B625" s="78">
        <f>IF($A625="","",'Importar Reservas'!B617)</f>
        <v/>
      </c>
      <c r="C625" s="78">
        <f>IF($A625="","",'Importar Reservas'!Z617)</f>
        <v/>
      </c>
      <c r="D625" s="78">
        <f>IF($A625="","",IF('Importar Reservas'!O617="",0,'Importar Reservas'!O617))</f>
        <v/>
      </c>
      <c r="E625" s="78">
        <f>IF($A625="","",IF('Importar Reservas'!N617="",0,'Importar Reservas'!N617))</f>
        <v/>
      </c>
      <c r="F625" s="78">
        <f>IF($A625="","",IFERROR(INDEX(Configurações!$C$5:$C$100,MATCH($C625,Configurações!$A$5:$A$100,0)),"Margem"))</f>
        <v/>
      </c>
      <c r="G625" s="78">
        <f>IF($A625="","",IFERROR(INDEX(Configurações!$B$5:$B$100,MATCH($C625,Configurações!$A$5:$A$100,0)),0))</f>
        <v/>
      </c>
      <c r="H625" s="78">
        <f>IF(OR($A625="",'Importar Reservas'!M617&lt;&gt;"Aprovado",$D625&lt;=0),"",MAX(0,IF($F625="Margem",$D625-$E625,$D625))*$G625)</f>
        <v/>
      </c>
    </row>
    <row r="626" ht="15" customHeight="1" s="79">
      <c r="A626" s="78">
        <f>IF('Importar Reservas'!A618="","",'Importar Reservas'!A618)</f>
        <v/>
      </c>
      <c r="B626" s="78">
        <f>IF($A626="","",'Importar Reservas'!B618)</f>
        <v/>
      </c>
      <c r="C626" s="78">
        <f>IF($A626="","",'Importar Reservas'!Z618)</f>
        <v/>
      </c>
      <c r="D626" s="78">
        <f>IF($A626="","",IF('Importar Reservas'!O618="",0,'Importar Reservas'!O618))</f>
        <v/>
      </c>
      <c r="E626" s="78">
        <f>IF($A626="","",IF('Importar Reservas'!N618="",0,'Importar Reservas'!N618))</f>
        <v/>
      </c>
      <c r="F626" s="78">
        <f>IF($A626="","",IFERROR(INDEX(Configurações!$C$5:$C$100,MATCH($C626,Configurações!$A$5:$A$100,0)),"Margem"))</f>
        <v/>
      </c>
      <c r="G626" s="78">
        <f>IF($A626="","",IFERROR(INDEX(Configurações!$B$5:$B$100,MATCH($C626,Configurações!$A$5:$A$100,0)),0))</f>
        <v/>
      </c>
      <c r="H626" s="78">
        <f>IF(OR($A626="",'Importar Reservas'!M618&lt;&gt;"Aprovado",$D626&lt;=0),"",MAX(0,IF($F626="Margem",$D626-$E626,$D626))*$G626)</f>
        <v/>
      </c>
    </row>
    <row r="627" ht="15" customHeight="1" s="79">
      <c r="A627" s="78">
        <f>IF('Importar Reservas'!A619="","",'Importar Reservas'!A619)</f>
        <v/>
      </c>
      <c r="B627" s="78">
        <f>IF($A627="","",'Importar Reservas'!B619)</f>
        <v/>
      </c>
      <c r="C627" s="78">
        <f>IF($A627="","",'Importar Reservas'!Z619)</f>
        <v/>
      </c>
      <c r="D627" s="78">
        <f>IF($A627="","",IF('Importar Reservas'!O619="",0,'Importar Reservas'!O619))</f>
        <v/>
      </c>
      <c r="E627" s="78">
        <f>IF($A627="","",IF('Importar Reservas'!N619="",0,'Importar Reservas'!N619))</f>
        <v/>
      </c>
      <c r="F627" s="78">
        <f>IF($A627="","",IFERROR(INDEX(Configurações!$C$5:$C$100,MATCH($C627,Configurações!$A$5:$A$100,0)),"Margem"))</f>
        <v/>
      </c>
      <c r="G627" s="78">
        <f>IF($A627="","",IFERROR(INDEX(Configurações!$B$5:$B$100,MATCH($C627,Configurações!$A$5:$A$100,0)),0))</f>
        <v/>
      </c>
      <c r="H627" s="78">
        <f>IF(OR($A627="",'Importar Reservas'!M619&lt;&gt;"Aprovado",$D627&lt;=0),"",MAX(0,IF($F627="Margem",$D627-$E627,$D627))*$G627)</f>
        <v/>
      </c>
    </row>
    <row r="628" ht="15" customHeight="1" s="79">
      <c r="A628" s="78">
        <f>IF('Importar Reservas'!A620="","",'Importar Reservas'!A620)</f>
        <v/>
      </c>
      <c r="B628" s="78">
        <f>IF($A628="","",'Importar Reservas'!B620)</f>
        <v/>
      </c>
      <c r="C628" s="78">
        <f>IF($A628="","",'Importar Reservas'!Z620)</f>
        <v/>
      </c>
      <c r="D628" s="78">
        <f>IF($A628="","",IF('Importar Reservas'!O620="",0,'Importar Reservas'!O620))</f>
        <v/>
      </c>
      <c r="E628" s="78">
        <f>IF($A628="","",IF('Importar Reservas'!N620="",0,'Importar Reservas'!N620))</f>
        <v/>
      </c>
      <c r="F628" s="78">
        <f>IF($A628="","",IFERROR(INDEX(Configurações!$C$5:$C$100,MATCH($C628,Configurações!$A$5:$A$100,0)),"Margem"))</f>
        <v/>
      </c>
      <c r="G628" s="78">
        <f>IF($A628="","",IFERROR(INDEX(Configurações!$B$5:$B$100,MATCH($C628,Configurações!$A$5:$A$100,0)),0))</f>
        <v/>
      </c>
      <c r="H628" s="78">
        <f>IF(OR($A628="",'Importar Reservas'!M620&lt;&gt;"Aprovado",$D628&lt;=0),"",MAX(0,IF($F628="Margem",$D628-$E628,$D628))*$G628)</f>
        <v/>
      </c>
    </row>
    <row r="629" ht="15" customHeight="1" s="79">
      <c r="A629" s="78">
        <f>IF('Importar Reservas'!A621="","",'Importar Reservas'!A621)</f>
        <v/>
      </c>
      <c r="B629" s="78">
        <f>IF($A629="","",'Importar Reservas'!B621)</f>
        <v/>
      </c>
      <c r="C629" s="78">
        <f>IF($A629="","",'Importar Reservas'!Z621)</f>
        <v/>
      </c>
      <c r="D629" s="78">
        <f>IF($A629="","",IF('Importar Reservas'!O621="",0,'Importar Reservas'!O621))</f>
        <v/>
      </c>
      <c r="E629" s="78">
        <f>IF($A629="","",IF('Importar Reservas'!N621="",0,'Importar Reservas'!N621))</f>
        <v/>
      </c>
      <c r="F629" s="78">
        <f>IF($A629="","",IFERROR(INDEX(Configurações!$C$5:$C$100,MATCH($C629,Configurações!$A$5:$A$100,0)),"Margem"))</f>
        <v/>
      </c>
      <c r="G629" s="78">
        <f>IF($A629="","",IFERROR(INDEX(Configurações!$B$5:$B$100,MATCH($C629,Configurações!$A$5:$A$100,0)),0))</f>
        <v/>
      </c>
      <c r="H629" s="78">
        <f>IF(OR($A629="",'Importar Reservas'!M621&lt;&gt;"Aprovado",$D629&lt;=0),"",MAX(0,IF($F629="Margem",$D629-$E629,$D629))*$G629)</f>
        <v/>
      </c>
    </row>
    <row r="630" ht="15" customHeight="1" s="79">
      <c r="A630" s="78">
        <f>IF('Importar Reservas'!A622="","",'Importar Reservas'!A622)</f>
        <v/>
      </c>
      <c r="B630" s="78">
        <f>IF($A630="","",'Importar Reservas'!B622)</f>
        <v/>
      </c>
      <c r="C630" s="78">
        <f>IF($A630="","",'Importar Reservas'!Z622)</f>
        <v/>
      </c>
      <c r="D630" s="78">
        <f>IF($A630="","",IF('Importar Reservas'!O622="",0,'Importar Reservas'!O622))</f>
        <v/>
      </c>
      <c r="E630" s="78">
        <f>IF($A630="","",IF('Importar Reservas'!N622="",0,'Importar Reservas'!N622))</f>
        <v/>
      </c>
      <c r="F630" s="78">
        <f>IF($A630="","",IFERROR(INDEX(Configurações!$C$5:$C$100,MATCH($C630,Configurações!$A$5:$A$100,0)),"Margem"))</f>
        <v/>
      </c>
      <c r="G630" s="78">
        <f>IF($A630="","",IFERROR(INDEX(Configurações!$B$5:$B$100,MATCH($C630,Configurações!$A$5:$A$100,0)),0))</f>
        <v/>
      </c>
      <c r="H630" s="78">
        <f>IF(OR($A630="",'Importar Reservas'!M622&lt;&gt;"Aprovado",$D630&lt;=0),"",MAX(0,IF($F630="Margem",$D630-$E630,$D630))*$G630)</f>
        <v/>
      </c>
    </row>
    <row r="631" ht="15" customHeight="1" s="79">
      <c r="A631" s="78">
        <f>IF('Importar Reservas'!A623="","",'Importar Reservas'!A623)</f>
        <v/>
      </c>
      <c r="B631" s="78">
        <f>IF($A631="","",'Importar Reservas'!B623)</f>
        <v/>
      </c>
      <c r="C631" s="78">
        <f>IF($A631="","",'Importar Reservas'!Z623)</f>
        <v/>
      </c>
      <c r="D631" s="78">
        <f>IF($A631="","",IF('Importar Reservas'!O623="",0,'Importar Reservas'!O623))</f>
        <v/>
      </c>
      <c r="E631" s="78">
        <f>IF($A631="","",IF('Importar Reservas'!N623="",0,'Importar Reservas'!N623))</f>
        <v/>
      </c>
      <c r="F631" s="78">
        <f>IF($A631="","",IFERROR(INDEX(Configurações!$C$5:$C$100,MATCH($C631,Configurações!$A$5:$A$100,0)),"Margem"))</f>
        <v/>
      </c>
      <c r="G631" s="78">
        <f>IF($A631="","",IFERROR(INDEX(Configurações!$B$5:$B$100,MATCH($C631,Configurações!$A$5:$A$100,0)),0))</f>
        <v/>
      </c>
      <c r="H631" s="78">
        <f>IF(OR($A631="",'Importar Reservas'!M623&lt;&gt;"Aprovado",$D631&lt;=0),"",MAX(0,IF($F631="Margem",$D631-$E631,$D631))*$G631)</f>
        <v/>
      </c>
    </row>
    <row r="632" ht="15" customHeight="1" s="79">
      <c r="A632" s="78">
        <f>IF('Importar Reservas'!A624="","",'Importar Reservas'!A624)</f>
        <v/>
      </c>
      <c r="B632" s="78">
        <f>IF($A632="","",'Importar Reservas'!B624)</f>
        <v/>
      </c>
      <c r="C632" s="78">
        <f>IF($A632="","",'Importar Reservas'!Z624)</f>
        <v/>
      </c>
      <c r="D632" s="78">
        <f>IF($A632="","",IF('Importar Reservas'!O624="",0,'Importar Reservas'!O624))</f>
        <v/>
      </c>
      <c r="E632" s="78">
        <f>IF($A632="","",IF('Importar Reservas'!N624="",0,'Importar Reservas'!N624))</f>
        <v/>
      </c>
      <c r="F632" s="78">
        <f>IF($A632="","",IFERROR(INDEX(Configurações!$C$5:$C$100,MATCH($C632,Configurações!$A$5:$A$100,0)),"Margem"))</f>
        <v/>
      </c>
      <c r="G632" s="78">
        <f>IF($A632="","",IFERROR(INDEX(Configurações!$B$5:$B$100,MATCH($C632,Configurações!$A$5:$A$100,0)),0))</f>
        <v/>
      </c>
      <c r="H632" s="78">
        <f>IF(OR($A632="",'Importar Reservas'!M624&lt;&gt;"Aprovado",$D632&lt;=0),"",MAX(0,IF($F632="Margem",$D632-$E632,$D632))*$G632)</f>
        <v/>
      </c>
    </row>
    <row r="633" ht="15" customHeight="1" s="79">
      <c r="A633" s="78">
        <f>IF('Importar Reservas'!A625="","",'Importar Reservas'!A625)</f>
        <v/>
      </c>
      <c r="B633" s="78">
        <f>IF($A633="","",'Importar Reservas'!B625)</f>
        <v/>
      </c>
      <c r="C633" s="78">
        <f>IF($A633="","",'Importar Reservas'!Z625)</f>
        <v/>
      </c>
      <c r="D633" s="78">
        <f>IF($A633="","",IF('Importar Reservas'!O625="",0,'Importar Reservas'!O625))</f>
        <v/>
      </c>
      <c r="E633" s="78">
        <f>IF($A633="","",IF('Importar Reservas'!N625="",0,'Importar Reservas'!N625))</f>
        <v/>
      </c>
      <c r="F633" s="78">
        <f>IF($A633="","",IFERROR(INDEX(Configurações!$C$5:$C$100,MATCH($C633,Configurações!$A$5:$A$100,0)),"Margem"))</f>
        <v/>
      </c>
      <c r="G633" s="78">
        <f>IF($A633="","",IFERROR(INDEX(Configurações!$B$5:$B$100,MATCH($C633,Configurações!$A$5:$A$100,0)),0))</f>
        <v/>
      </c>
      <c r="H633" s="78">
        <f>IF(OR($A633="",'Importar Reservas'!M625&lt;&gt;"Aprovado",$D633&lt;=0),"",MAX(0,IF($F633="Margem",$D633-$E633,$D633))*$G633)</f>
        <v/>
      </c>
    </row>
    <row r="634" ht="15" customHeight="1" s="79">
      <c r="A634" s="78">
        <f>IF('Importar Reservas'!A626="","",'Importar Reservas'!A626)</f>
        <v/>
      </c>
      <c r="B634" s="78">
        <f>IF($A634="","",'Importar Reservas'!B626)</f>
        <v/>
      </c>
      <c r="C634" s="78">
        <f>IF($A634="","",'Importar Reservas'!Z626)</f>
        <v/>
      </c>
      <c r="D634" s="78">
        <f>IF($A634="","",IF('Importar Reservas'!O626="",0,'Importar Reservas'!O626))</f>
        <v/>
      </c>
      <c r="E634" s="78">
        <f>IF($A634="","",IF('Importar Reservas'!N626="",0,'Importar Reservas'!N626))</f>
        <v/>
      </c>
      <c r="F634" s="78">
        <f>IF($A634="","",IFERROR(INDEX(Configurações!$C$5:$C$100,MATCH($C634,Configurações!$A$5:$A$100,0)),"Margem"))</f>
        <v/>
      </c>
      <c r="G634" s="78">
        <f>IF($A634="","",IFERROR(INDEX(Configurações!$B$5:$B$100,MATCH($C634,Configurações!$A$5:$A$100,0)),0))</f>
        <v/>
      </c>
      <c r="H634" s="78">
        <f>IF(OR($A634="",'Importar Reservas'!M626&lt;&gt;"Aprovado",$D634&lt;=0),"",MAX(0,IF($F634="Margem",$D634-$E634,$D634))*$G634)</f>
        <v/>
      </c>
    </row>
    <row r="635" ht="15" customHeight="1" s="79">
      <c r="A635" s="78">
        <f>IF('Importar Reservas'!A627="","",'Importar Reservas'!A627)</f>
        <v/>
      </c>
      <c r="B635" s="78">
        <f>IF($A635="","",'Importar Reservas'!B627)</f>
        <v/>
      </c>
      <c r="C635" s="78">
        <f>IF($A635="","",'Importar Reservas'!Z627)</f>
        <v/>
      </c>
      <c r="D635" s="78">
        <f>IF($A635="","",IF('Importar Reservas'!O627="",0,'Importar Reservas'!O627))</f>
        <v/>
      </c>
      <c r="E635" s="78">
        <f>IF($A635="","",IF('Importar Reservas'!N627="",0,'Importar Reservas'!N627))</f>
        <v/>
      </c>
      <c r="F635" s="78">
        <f>IF($A635="","",IFERROR(INDEX(Configurações!$C$5:$C$100,MATCH($C635,Configurações!$A$5:$A$100,0)),"Margem"))</f>
        <v/>
      </c>
      <c r="G635" s="78">
        <f>IF($A635="","",IFERROR(INDEX(Configurações!$B$5:$B$100,MATCH($C635,Configurações!$A$5:$A$100,0)),0))</f>
        <v/>
      </c>
      <c r="H635" s="78">
        <f>IF(OR($A635="",'Importar Reservas'!M627&lt;&gt;"Aprovado",$D635&lt;=0),"",MAX(0,IF($F635="Margem",$D635-$E635,$D635))*$G635)</f>
        <v/>
      </c>
    </row>
    <row r="636" ht="15" customHeight="1" s="79">
      <c r="A636" s="78">
        <f>IF('Importar Reservas'!A628="","",'Importar Reservas'!A628)</f>
        <v/>
      </c>
      <c r="B636" s="78">
        <f>IF($A636="","",'Importar Reservas'!B628)</f>
        <v/>
      </c>
      <c r="C636" s="78">
        <f>IF($A636="","",'Importar Reservas'!Z628)</f>
        <v/>
      </c>
      <c r="D636" s="78">
        <f>IF($A636="","",IF('Importar Reservas'!O628="",0,'Importar Reservas'!O628))</f>
        <v/>
      </c>
      <c r="E636" s="78">
        <f>IF($A636="","",IF('Importar Reservas'!N628="",0,'Importar Reservas'!N628))</f>
        <v/>
      </c>
      <c r="F636" s="78">
        <f>IF($A636="","",IFERROR(INDEX(Configurações!$C$5:$C$100,MATCH($C636,Configurações!$A$5:$A$100,0)),"Margem"))</f>
        <v/>
      </c>
      <c r="G636" s="78">
        <f>IF($A636="","",IFERROR(INDEX(Configurações!$B$5:$B$100,MATCH($C636,Configurações!$A$5:$A$100,0)),0))</f>
        <v/>
      </c>
      <c r="H636" s="78">
        <f>IF(OR($A636="",'Importar Reservas'!M628&lt;&gt;"Aprovado",$D636&lt;=0),"",MAX(0,IF($F636="Margem",$D636-$E636,$D636))*$G636)</f>
        <v/>
      </c>
    </row>
    <row r="637" ht="15" customHeight="1" s="79">
      <c r="A637" s="78">
        <f>IF('Importar Reservas'!A629="","",'Importar Reservas'!A629)</f>
        <v/>
      </c>
      <c r="B637" s="78">
        <f>IF($A637="","",'Importar Reservas'!B629)</f>
        <v/>
      </c>
      <c r="C637" s="78">
        <f>IF($A637="","",'Importar Reservas'!Z629)</f>
        <v/>
      </c>
      <c r="D637" s="78">
        <f>IF($A637="","",IF('Importar Reservas'!O629="",0,'Importar Reservas'!O629))</f>
        <v/>
      </c>
      <c r="E637" s="78">
        <f>IF($A637="","",IF('Importar Reservas'!N629="",0,'Importar Reservas'!N629))</f>
        <v/>
      </c>
      <c r="F637" s="78">
        <f>IF($A637="","",IFERROR(INDEX(Configurações!$C$5:$C$100,MATCH($C637,Configurações!$A$5:$A$100,0)),"Margem"))</f>
        <v/>
      </c>
      <c r="G637" s="78">
        <f>IF($A637="","",IFERROR(INDEX(Configurações!$B$5:$B$100,MATCH($C637,Configurações!$A$5:$A$100,0)),0))</f>
        <v/>
      </c>
      <c r="H637" s="78">
        <f>IF(OR($A637="",'Importar Reservas'!M629&lt;&gt;"Aprovado",$D637&lt;=0),"",MAX(0,IF($F637="Margem",$D637-$E637,$D637))*$G637)</f>
        <v/>
      </c>
    </row>
    <row r="638" ht="15" customHeight="1" s="79">
      <c r="A638" s="78">
        <f>IF('Importar Reservas'!A630="","",'Importar Reservas'!A630)</f>
        <v/>
      </c>
      <c r="B638" s="78">
        <f>IF($A638="","",'Importar Reservas'!B630)</f>
        <v/>
      </c>
      <c r="C638" s="78">
        <f>IF($A638="","",'Importar Reservas'!Z630)</f>
        <v/>
      </c>
      <c r="D638" s="78">
        <f>IF($A638="","",IF('Importar Reservas'!O630="",0,'Importar Reservas'!O630))</f>
        <v/>
      </c>
      <c r="E638" s="78">
        <f>IF($A638="","",IF('Importar Reservas'!N630="",0,'Importar Reservas'!N630))</f>
        <v/>
      </c>
      <c r="F638" s="78">
        <f>IF($A638="","",IFERROR(INDEX(Configurações!$C$5:$C$100,MATCH($C638,Configurações!$A$5:$A$100,0)),"Margem"))</f>
        <v/>
      </c>
      <c r="G638" s="78">
        <f>IF($A638="","",IFERROR(INDEX(Configurações!$B$5:$B$100,MATCH($C638,Configurações!$A$5:$A$100,0)),0))</f>
        <v/>
      </c>
      <c r="H638" s="78">
        <f>IF(OR($A638="",'Importar Reservas'!M630&lt;&gt;"Aprovado",$D638&lt;=0),"",MAX(0,IF($F638="Margem",$D638-$E638,$D638))*$G638)</f>
        <v/>
      </c>
    </row>
    <row r="639" ht="15" customHeight="1" s="79">
      <c r="A639" s="78">
        <f>IF('Importar Reservas'!A631="","",'Importar Reservas'!A631)</f>
        <v/>
      </c>
      <c r="B639" s="78">
        <f>IF($A639="","",'Importar Reservas'!B631)</f>
        <v/>
      </c>
      <c r="C639" s="78">
        <f>IF($A639="","",'Importar Reservas'!Z631)</f>
        <v/>
      </c>
      <c r="D639" s="78">
        <f>IF($A639="","",IF('Importar Reservas'!O631="",0,'Importar Reservas'!O631))</f>
        <v/>
      </c>
      <c r="E639" s="78">
        <f>IF($A639="","",IF('Importar Reservas'!N631="",0,'Importar Reservas'!N631))</f>
        <v/>
      </c>
      <c r="F639" s="78">
        <f>IF($A639="","",IFERROR(INDEX(Configurações!$C$5:$C$100,MATCH($C639,Configurações!$A$5:$A$100,0)),"Margem"))</f>
        <v/>
      </c>
      <c r="G639" s="78">
        <f>IF($A639="","",IFERROR(INDEX(Configurações!$B$5:$B$100,MATCH($C639,Configurações!$A$5:$A$100,0)),0))</f>
        <v/>
      </c>
      <c r="H639" s="78">
        <f>IF(OR($A639="",'Importar Reservas'!M631&lt;&gt;"Aprovado",$D639&lt;=0),"",MAX(0,IF($F639="Margem",$D639-$E639,$D639))*$G639)</f>
        <v/>
      </c>
    </row>
    <row r="640" ht="15" customHeight="1" s="79">
      <c r="A640" s="78">
        <f>IF('Importar Reservas'!A632="","",'Importar Reservas'!A632)</f>
        <v/>
      </c>
      <c r="B640" s="78">
        <f>IF($A640="","",'Importar Reservas'!B632)</f>
        <v/>
      </c>
      <c r="C640" s="78">
        <f>IF($A640="","",'Importar Reservas'!Z632)</f>
        <v/>
      </c>
      <c r="D640" s="78">
        <f>IF($A640="","",IF('Importar Reservas'!O632="",0,'Importar Reservas'!O632))</f>
        <v/>
      </c>
      <c r="E640" s="78">
        <f>IF($A640="","",IF('Importar Reservas'!N632="",0,'Importar Reservas'!N632))</f>
        <v/>
      </c>
      <c r="F640" s="78">
        <f>IF($A640="","",IFERROR(INDEX(Configurações!$C$5:$C$100,MATCH($C640,Configurações!$A$5:$A$100,0)),"Margem"))</f>
        <v/>
      </c>
      <c r="G640" s="78">
        <f>IF($A640="","",IFERROR(INDEX(Configurações!$B$5:$B$100,MATCH($C640,Configurações!$A$5:$A$100,0)),0))</f>
        <v/>
      </c>
      <c r="H640" s="78">
        <f>IF(OR($A640="",'Importar Reservas'!M632&lt;&gt;"Aprovado",$D640&lt;=0),"",MAX(0,IF($F640="Margem",$D640-$E640,$D640))*$G640)</f>
        <v/>
      </c>
    </row>
    <row r="641" ht="15" customHeight="1" s="79">
      <c r="A641" s="78">
        <f>IF('Importar Reservas'!A633="","",'Importar Reservas'!A633)</f>
        <v/>
      </c>
      <c r="B641" s="78">
        <f>IF($A641="","",'Importar Reservas'!B633)</f>
        <v/>
      </c>
      <c r="C641" s="78">
        <f>IF($A641="","",'Importar Reservas'!Z633)</f>
        <v/>
      </c>
      <c r="D641" s="78">
        <f>IF($A641="","",IF('Importar Reservas'!O633="",0,'Importar Reservas'!O633))</f>
        <v/>
      </c>
      <c r="E641" s="78">
        <f>IF($A641="","",IF('Importar Reservas'!N633="",0,'Importar Reservas'!N633))</f>
        <v/>
      </c>
      <c r="F641" s="78">
        <f>IF($A641="","",IFERROR(INDEX(Configurações!$C$5:$C$100,MATCH($C641,Configurações!$A$5:$A$100,0)),"Margem"))</f>
        <v/>
      </c>
      <c r="G641" s="78">
        <f>IF($A641="","",IFERROR(INDEX(Configurações!$B$5:$B$100,MATCH($C641,Configurações!$A$5:$A$100,0)),0))</f>
        <v/>
      </c>
      <c r="H641" s="78">
        <f>IF(OR($A641="",'Importar Reservas'!M633&lt;&gt;"Aprovado",$D641&lt;=0),"",MAX(0,IF($F641="Margem",$D641-$E641,$D641))*$G641)</f>
        <v/>
      </c>
    </row>
    <row r="642" ht="15" customHeight="1" s="79">
      <c r="A642" s="78">
        <f>IF('Importar Reservas'!A634="","",'Importar Reservas'!A634)</f>
        <v/>
      </c>
      <c r="B642" s="78">
        <f>IF($A642="","",'Importar Reservas'!B634)</f>
        <v/>
      </c>
      <c r="C642" s="78">
        <f>IF($A642="","",'Importar Reservas'!Z634)</f>
        <v/>
      </c>
      <c r="D642" s="78">
        <f>IF($A642="","",IF('Importar Reservas'!O634="",0,'Importar Reservas'!O634))</f>
        <v/>
      </c>
      <c r="E642" s="78">
        <f>IF($A642="","",IF('Importar Reservas'!N634="",0,'Importar Reservas'!N634))</f>
        <v/>
      </c>
      <c r="F642" s="78">
        <f>IF($A642="","",IFERROR(INDEX(Configurações!$C$5:$C$100,MATCH($C642,Configurações!$A$5:$A$100,0)),"Margem"))</f>
        <v/>
      </c>
      <c r="G642" s="78">
        <f>IF($A642="","",IFERROR(INDEX(Configurações!$B$5:$B$100,MATCH($C642,Configurações!$A$5:$A$100,0)),0))</f>
        <v/>
      </c>
      <c r="H642" s="78">
        <f>IF(OR($A642="",'Importar Reservas'!M634&lt;&gt;"Aprovado",$D642&lt;=0),"",MAX(0,IF($F642="Margem",$D642-$E642,$D642))*$G642)</f>
        <v/>
      </c>
    </row>
    <row r="643" ht="15" customHeight="1" s="79">
      <c r="A643" s="78">
        <f>IF('Importar Reservas'!A635="","",'Importar Reservas'!A635)</f>
        <v/>
      </c>
      <c r="B643" s="78">
        <f>IF($A643="","",'Importar Reservas'!B635)</f>
        <v/>
      </c>
      <c r="C643" s="78">
        <f>IF($A643="","",'Importar Reservas'!Z635)</f>
        <v/>
      </c>
      <c r="D643" s="78">
        <f>IF($A643="","",IF('Importar Reservas'!O635="",0,'Importar Reservas'!O635))</f>
        <v/>
      </c>
      <c r="E643" s="78">
        <f>IF($A643="","",IF('Importar Reservas'!N635="",0,'Importar Reservas'!N635))</f>
        <v/>
      </c>
      <c r="F643" s="78">
        <f>IF($A643="","",IFERROR(INDEX(Configurações!$C$5:$C$100,MATCH($C643,Configurações!$A$5:$A$100,0)),"Margem"))</f>
        <v/>
      </c>
      <c r="G643" s="78">
        <f>IF($A643="","",IFERROR(INDEX(Configurações!$B$5:$B$100,MATCH($C643,Configurações!$A$5:$A$100,0)),0))</f>
        <v/>
      </c>
      <c r="H643" s="78">
        <f>IF(OR($A643="",'Importar Reservas'!M635&lt;&gt;"Aprovado",$D643&lt;=0),"",MAX(0,IF($F643="Margem",$D643-$E643,$D643))*$G643)</f>
        <v/>
      </c>
    </row>
    <row r="644" ht="15" customHeight="1" s="79">
      <c r="A644" s="78">
        <f>IF('Importar Reservas'!A636="","",'Importar Reservas'!A636)</f>
        <v/>
      </c>
      <c r="B644" s="78">
        <f>IF($A644="","",'Importar Reservas'!B636)</f>
        <v/>
      </c>
      <c r="C644" s="78">
        <f>IF($A644="","",'Importar Reservas'!Z636)</f>
        <v/>
      </c>
      <c r="D644" s="78">
        <f>IF($A644="","",IF('Importar Reservas'!O636="",0,'Importar Reservas'!O636))</f>
        <v/>
      </c>
      <c r="E644" s="78">
        <f>IF($A644="","",IF('Importar Reservas'!N636="",0,'Importar Reservas'!N636))</f>
        <v/>
      </c>
      <c r="F644" s="78">
        <f>IF($A644="","",IFERROR(INDEX(Configurações!$C$5:$C$100,MATCH($C644,Configurações!$A$5:$A$100,0)),"Margem"))</f>
        <v/>
      </c>
      <c r="G644" s="78">
        <f>IF($A644="","",IFERROR(INDEX(Configurações!$B$5:$B$100,MATCH($C644,Configurações!$A$5:$A$100,0)),0))</f>
        <v/>
      </c>
      <c r="H644" s="78">
        <f>IF(OR($A644="",'Importar Reservas'!M636&lt;&gt;"Aprovado",$D644&lt;=0),"",MAX(0,IF($F644="Margem",$D644-$E644,$D644))*$G644)</f>
        <v/>
      </c>
    </row>
    <row r="645" ht="15" customHeight="1" s="79">
      <c r="A645" s="78">
        <f>IF('Importar Reservas'!A637="","",'Importar Reservas'!A637)</f>
        <v/>
      </c>
      <c r="B645" s="78">
        <f>IF($A645="","",'Importar Reservas'!B637)</f>
        <v/>
      </c>
      <c r="C645" s="78">
        <f>IF($A645="","",'Importar Reservas'!Z637)</f>
        <v/>
      </c>
      <c r="D645" s="78">
        <f>IF($A645="","",IF('Importar Reservas'!O637="",0,'Importar Reservas'!O637))</f>
        <v/>
      </c>
      <c r="E645" s="78">
        <f>IF($A645="","",IF('Importar Reservas'!N637="",0,'Importar Reservas'!N637))</f>
        <v/>
      </c>
      <c r="F645" s="78">
        <f>IF($A645="","",IFERROR(INDEX(Configurações!$C$5:$C$100,MATCH($C645,Configurações!$A$5:$A$100,0)),"Margem"))</f>
        <v/>
      </c>
      <c r="G645" s="78">
        <f>IF($A645="","",IFERROR(INDEX(Configurações!$B$5:$B$100,MATCH($C645,Configurações!$A$5:$A$100,0)),0))</f>
        <v/>
      </c>
      <c r="H645" s="78">
        <f>IF(OR($A645="",'Importar Reservas'!M637&lt;&gt;"Aprovado",$D645&lt;=0),"",MAX(0,IF($F645="Margem",$D645-$E645,$D645))*$G645)</f>
        <v/>
      </c>
    </row>
    <row r="646" ht="15" customHeight="1" s="79">
      <c r="A646" s="78">
        <f>IF('Importar Reservas'!A638="","",'Importar Reservas'!A638)</f>
        <v/>
      </c>
      <c r="B646" s="78">
        <f>IF($A646="","",'Importar Reservas'!B638)</f>
        <v/>
      </c>
      <c r="C646" s="78">
        <f>IF($A646="","",'Importar Reservas'!Z638)</f>
        <v/>
      </c>
      <c r="D646" s="78">
        <f>IF($A646="","",IF('Importar Reservas'!O638="",0,'Importar Reservas'!O638))</f>
        <v/>
      </c>
      <c r="E646" s="78">
        <f>IF($A646="","",IF('Importar Reservas'!N638="",0,'Importar Reservas'!N638))</f>
        <v/>
      </c>
      <c r="F646" s="78">
        <f>IF($A646="","",IFERROR(INDEX(Configurações!$C$5:$C$100,MATCH($C646,Configurações!$A$5:$A$100,0)),"Margem"))</f>
        <v/>
      </c>
      <c r="G646" s="78">
        <f>IF($A646="","",IFERROR(INDEX(Configurações!$B$5:$B$100,MATCH($C646,Configurações!$A$5:$A$100,0)),0))</f>
        <v/>
      </c>
      <c r="H646" s="78">
        <f>IF(OR($A646="",'Importar Reservas'!M638&lt;&gt;"Aprovado",$D646&lt;=0),"",MAX(0,IF($F646="Margem",$D646-$E646,$D646))*$G646)</f>
        <v/>
      </c>
    </row>
    <row r="647" ht="15" customHeight="1" s="79">
      <c r="A647" s="78">
        <f>IF('Importar Reservas'!A639="","",'Importar Reservas'!A639)</f>
        <v/>
      </c>
      <c r="B647" s="78">
        <f>IF($A647="","",'Importar Reservas'!B639)</f>
        <v/>
      </c>
      <c r="C647" s="78">
        <f>IF($A647="","",'Importar Reservas'!Z639)</f>
        <v/>
      </c>
      <c r="D647" s="78">
        <f>IF($A647="","",IF('Importar Reservas'!O639="",0,'Importar Reservas'!O639))</f>
        <v/>
      </c>
      <c r="E647" s="78">
        <f>IF($A647="","",IF('Importar Reservas'!N639="",0,'Importar Reservas'!N639))</f>
        <v/>
      </c>
      <c r="F647" s="78">
        <f>IF($A647="","",IFERROR(INDEX(Configurações!$C$5:$C$100,MATCH($C647,Configurações!$A$5:$A$100,0)),"Margem"))</f>
        <v/>
      </c>
      <c r="G647" s="78">
        <f>IF($A647="","",IFERROR(INDEX(Configurações!$B$5:$B$100,MATCH($C647,Configurações!$A$5:$A$100,0)),0))</f>
        <v/>
      </c>
      <c r="H647" s="78">
        <f>IF(OR($A647="",'Importar Reservas'!M639&lt;&gt;"Aprovado",$D647&lt;=0),"",MAX(0,IF($F647="Margem",$D647-$E647,$D647))*$G647)</f>
        <v/>
      </c>
    </row>
    <row r="648" ht="15" customHeight="1" s="79">
      <c r="A648" s="78">
        <f>IF('Importar Reservas'!A640="","",'Importar Reservas'!A640)</f>
        <v/>
      </c>
      <c r="B648" s="78">
        <f>IF($A648="","",'Importar Reservas'!B640)</f>
        <v/>
      </c>
      <c r="C648" s="78">
        <f>IF($A648="","",'Importar Reservas'!Z640)</f>
        <v/>
      </c>
      <c r="D648" s="78">
        <f>IF($A648="","",IF('Importar Reservas'!O640="",0,'Importar Reservas'!O640))</f>
        <v/>
      </c>
      <c r="E648" s="78">
        <f>IF($A648="","",IF('Importar Reservas'!N640="",0,'Importar Reservas'!N640))</f>
        <v/>
      </c>
      <c r="F648" s="78">
        <f>IF($A648="","",IFERROR(INDEX(Configurações!$C$5:$C$100,MATCH($C648,Configurações!$A$5:$A$100,0)),"Margem"))</f>
        <v/>
      </c>
      <c r="G648" s="78">
        <f>IF($A648="","",IFERROR(INDEX(Configurações!$B$5:$B$100,MATCH($C648,Configurações!$A$5:$A$100,0)),0))</f>
        <v/>
      </c>
      <c r="H648" s="78">
        <f>IF(OR($A648="",'Importar Reservas'!M640&lt;&gt;"Aprovado",$D648&lt;=0),"",MAX(0,IF($F648="Margem",$D648-$E648,$D648))*$G648)</f>
        <v/>
      </c>
    </row>
    <row r="649" ht="15" customHeight="1" s="79">
      <c r="A649" s="78">
        <f>IF('Importar Reservas'!A641="","",'Importar Reservas'!A641)</f>
        <v/>
      </c>
      <c r="B649" s="78">
        <f>IF($A649="","",'Importar Reservas'!B641)</f>
        <v/>
      </c>
      <c r="C649" s="78">
        <f>IF($A649="","",'Importar Reservas'!Z641)</f>
        <v/>
      </c>
      <c r="D649" s="78">
        <f>IF($A649="","",IF('Importar Reservas'!O641="",0,'Importar Reservas'!O641))</f>
        <v/>
      </c>
      <c r="E649" s="78">
        <f>IF($A649="","",IF('Importar Reservas'!N641="",0,'Importar Reservas'!N641))</f>
        <v/>
      </c>
      <c r="F649" s="78">
        <f>IF($A649="","",IFERROR(INDEX(Configurações!$C$5:$C$100,MATCH($C649,Configurações!$A$5:$A$100,0)),"Margem"))</f>
        <v/>
      </c>
      <c r="G649" s="78">
        <f>IF($A649="","",IFERROR(INDEX(Configurações!$B$5:$B$100,MATCH($C649,Configurações!$A$5:$A$100,0)),0))</f>
        <v/>
      </c>
      <c r="H649" s="78">
        <f>IF(OR($A649="",'Importar Reservas'!M641&lt;&gt;"Aprovado",$D649&lt;=0),"",MAX(0,IF($F649="Margem",$D649-$E649,$D649))*$G649)</f>
        <v/>
      </c>
    </row>
    <row r="650" ht="15" customHeight="1" s="79">
      <c r="A650" s="78">
        <f>IF('Importar Reservas'!A642="","",'Importar Reservas'!A642)</f>
        <v/>
      </c>
      <c r="B650" s="78">
        <f>IF($A650="","",'Importar Reservas'!B642)</f>
        <v/>
      </c>
      <c r="C650" s="78">
        <f>IF($A650="","",'Importar Reservas'!Z642)</f>
        <v/>
      </c>
      <c r="D650" s="78">
        <f>IF($A650="","",IF('Importar Reservas'!O642="",0,'Importar Reservas'!O642))</f>
        <v/>
      </c>
      <c r="E650" s="78">
        <f>IF($A650="","",IF('Importar Reservas'!N642="",0,'Importar Reservas'!N642))</f>
        <v/>
      </c>
      <c r="F650" s="78">
        <f>IF($A650="","",IFERROR(INDEX(Configurações!$C$5:$C$100,MATCH($C650,Configurações!$A$5:$A$100,0)),"Margem"))</f>
        <v/>
      </c>
      <c r="G650" s="78">
        <f>IF($A650="","",IFERROR(INDEX(Configurações!$B$5:$B$100,MATCH($C650,Configurações!$A$5:$A$100,0)),0))</f>
        <v/>
      </c>
      <c r="H650" s="78">
        <f>IF(OR($A650="",'Importar Reservas'!M642&lt;&gt;"Aprovado",$D650&lt;=0),"",MAX(0,IF($F650="Margem",$D650-$E650,$D650))*$G650)</f>
        <v/>
      </c>
    </row>
    <row r="651" ht="15" customHeight="1" s="79">
      <c r="A651" s="78">
        <f>IF('Importar Reservas'!A643="","",'Importar Reservas'!A643)</f>
        <v/>
      </c>
      <c r="B651" s="78">
        <f>IF($A651="","",'Importar Reservas'!B643)</f>
        <v/>
      </c>
      <c r="C651" s="78">
        <f>IF($A651="","",'Importar Reservas'!Z643)</f>
        <v/>
      </c>
      <c r="D651" s="78">
        <f>IF($A651="","",IF('Importar Reservas'!O643="",0,'Importar Reservas'!O643))</f>
        <v/>
      </c>
      <c r="E651" s="78">
        <f>IF($A651="","",IF('Importar Reservas'!N643="",0,'Importar Reservas'!N643))</f>
        <v/>
      </c>
      <c r="F651" s="78">
        <f>IF($A651="","",IFERROR(INDEX(Configurações!$C$5:$C$100,MATCH($C651,Configurações!$A$5:$A$100,0)),"Margem"))</f>
        <v/>
      </c>
      <c r="G651" s="78">
        <f>IF($A651="","",IFERROR(INDEX(Configurações!$B$5:$B$100,MATCH($C651,Configurações!$A$5:$A$100,0)),0))</f>
        <v/>
      </c>
      <c r="H651" s="78">
        <f>IF(OR($A651="",'Importar Reservas'!M643&lt;&gt;"Aprovado",$D651&lt;=0),"",MAX(0,IF($F651="Margem",$D651-$E651,$D651))*$G651)</f>
        <v/>
      </c>
    </row>
    <row r="652" ht="15" customHeight="1" s="79">
      <c r="A652" s="78">
        <f>IF('Importar Reservas'!A644="","",'Importar Reservas'!A644)</f>
        <v/>
      </c>
      <c r="B652" s="78">
        <f>IF($A652="","",'Importar Reservas'!B644)</f>
        <v/>
      </c>
      <c r="C652" s="78">
        <f>IF($A652="","",'Importar Reservas'!Z644)</f>
        <v/>
      </c>
      <c r="D652" s="78">
        <f>IF($A652="","",IF('Importar Reservas'!O644="",0,'Importar Reservas'!O644))</f>
        <v/>
      </c>
      <c r="E652" s="78">
        <f>IF($A652="","",IF('Importar Reservas'!N644="",0,'Importar Reservas'!N644))</f>
        <v/>
      </c>
      <c r="F652" s="78">
        <f>IF($A652="","",IFERROR(INDEX(Configurações!$C$5:$C$100,MATCH($C652,Configurações!$A$5:$A$100,0)),"Margem"))</f>
        <v/>
      </c>
      <c r="G652" s="78">
        <f>IF($A652="","",IFERROR(INDEX(Configurações!$B$5:$B$100,MATCH($C652,Configurações!$A$5:$A$100,0)),0))</f>
        <v/>
      </c>
      <c r="H652" s="78">
        <f>IF(OR($A652="",'Importar Reservas'!M644&lt;&gt;"Aprovado",$D652&lt;=0),"",MAX(0,IF($F652="Margem",$D652-$E652,$D652))*$G652)</f>
        <v/>
      </c>
    </row>
    <row r="653" ht="15" customHeight="1" s="79">
      <c r="A653" s="78">
        <f>IF('Importar Reservas'!A645="","",'Importar Reservas'!A645)</f>
        <v/>
      </c>
      <c r="B653" s="78">
        <f>IF($A653="","",'Importar Reservas'!B645)</f>
        <v/>
      </c>
      <c r="C653" s="78">
        <f>IF($A653="","",'Importar Reservas'!Z645)</f>
        <v/>
      </c>
      <c r="D653" s="78">
        <f>IF($A653="","",IF('Importar Reservas'!O645="",0,'Importar Reservas'!O645))</f>
        <v/>
      </c>
      <c r="E653" s="78">
        <f>IF($A653="","",IF('Importar Reservas'!N645="",0,'Importar Reservas'!N645))</f>
        <v/>
      </c>
      <c r="F653" s="78">
        <f>IF($A653="","",IFERROR(INDEX(Configurações!$C$5:$C$100,MATCH($C653,Configurações!$A$5:$A$100,0)),"Margem"))</f>
        <v/>
      </c>
      <c r="G653" s="78">
        <f>IF($A653="","",IFERROR(INDEX(Configurações!$B$5:$B$100,MATCH($C653,Configurações!$A$5:$A$100,0)),0))</f>
        <v/>
      </c>
      <c r="H653" s="78">
        <f>IF(OR($A653="",'Importar Reservas'!M645&lt;&gt;"Aprovado",$D653&lt;=0),"",MAX(0,IF($F653="Margem",$D653-$E653,$D653))*$G653)</f>
        <v/>
      </c>
    </row>
    <row r="654" ht="15" customHeight="1" s="79">
      <c r="A654" s="78">
        <f>IF('Importar Reservas'!A646="","",'Importar Reservas'!A646)</f>
        <v/>
      </c>
      <c r="B654" s="78">
        <f>IF($A654="","",'Importar Reservas'!B646)</f>
        <v/>
      </c>
      <c r="C654" s="78">
        <f>IF($A654="","",'Importar Reservas'!Z646)</f>
        <v/>
      </c>
      <c r="D654" s="78">
        <f>IF($A654="","",IF('Importar Reservas'!O646="",0,'Importar Reservas'!O646))</f>
        <v/>
      </c>
      <c r="E654" s="78">
        <f>IF($A654="","",IF('Importar Reservas'!N646="",0,'Importar Reservas'!N646))</f>
        <v/>
      </c>
      <c r="F654" s="78">
        <f>IF($A654="","",IFERROR(INDEX(Configurações!$C$5:$C$100,MATCH($C654,Configurações!$A$5:$A$100,0)),"Margem"))</f>
        <v/>
      </c>
      <c r="G654" s="78">
        <f>IF($A654="","",IFERROR(INDEX(Configurações!$B$5:$B$100,MATCH($C654,Configurações!$A$5:$A$100,0)),0))</f>
        <v/>
      </c>
      <c r="H654" s="78">
        <f>IF(OR($A654="",'Importar Reservas'!M646&lt;&gt;"Aprovado",$D654&lt;=0),"",MAX(0,IF($F654="Margem",$D654-$E654,$D654))*$G654)</f>
        <v/>
      </c>
    </row>
    <row r="655" ht="15" customHeight="1" s="79">
      <c r="A655" s="78">
        <f>IF('Importar Reservas'!A647="","",'Importar Reservas'!A647)</f>
        <v/>
      </c>
      <c r="B655" s="78">
        <f>IF($A655="","",'Importar Reservas'!B647)</f>
        <v/>
      </c>
      <c r="C655" s="78">
        <f>IF($A655="","",'Importar Reservas'!Z647)</f>
        <v/>
      </c>
      <c r="D655" s="78">
        <f>IF($A655="","",IF('Importar Reservas'!O647="",0,'Importar Reservas'!O647))</f>
        <v/>
      </c>
      <c r="E655" s="78">
        <f>IF($A655="","",IF('Importar Reservas'!N647="",0,'Importar Reservas'!N647))</f>
        <v/>
      </c>
      <c r="F655" s="78">
        <f>IF($A655="","",IFERROR(INDEX(Configurações!$C$5:$C$100,MATCH($C655,Configurações!$A$5:$A$100,0)),"Margem"))</f>
        <v/>
      </c>
      <c r="G655" s="78">
        <f>IF($A655="","",IFERROR(INDEX(Configurações!$B$5:$B$100,MATCH($C655,Configurações!$A$5:$A$100,0)),0))</f>
        <v/>
      </c>
      <c r="H655" s="78">
        <f>IF(OR($A655="",'Importar Reservas'!M647&lt;&gt;"Aprovado",$D655&lt;=0),"",MAX(0,IF($F655="Margem",$D655-$E655,$D655))*$G655)</f>
        <v/>
      </c>
    </row>
    <row r="656" ht="15" customHeight="1" s="79">
      <c r="A656" s="78">
        <f>IF('Importar Reservas'!A648="","",'Importar Reservas'!A648)</f>
        <v/>
      </c>
      <c r="B656" s="78">
        <f>IF($A656="","",'Importar Reservas'!B648)</f>
        <v/>
      </c>
      <c r="C656" s="78">
        <f>IF($A656="","",'Importar Reservas'!Z648)</f>
        <v/>
      </c>
      <c r="D656" s="78">
        <f>IF($A656="","",IF('Importar Reservas'!O648="",0,'Importar Reservas'!O648))</f>
        <v/>
      </c>
      <c r="E656" s="78">
        <f>IF($A656="","",IF('Importar Reservas'!N648="",0,'Importar Reservas'!N648))</f>
        <v/>
      </c>
      <c r="F656" s="78">
        <f>IF($A656="","",IFERROR(INDEX(Configurações!$C$5:$C$100,MATCH($C656,Configurações!$A$5:$A$100,0)),"Margem"))</f>
        <v/>
      </c>
      <c r="G656" s="78">
        <f>IF($A656="","",IFERROR(INDEX(Configurações!$B$5:$B$100,MATCH($C656,Configurações!$A$5:$A$100,0)),0))</f>
        <v/>
      </c>
      <c r="H656" s="78">
        <f>IF(OR($A656="",'Importar Reservas'!M648&lt;&gt;"Aprovado",$D656&lt;=0),"",MAX(0,IF($F656="Margem",$D656-$E656,$D656))*$G656)</f>
        <v/>
      </c>
    </row>
    <row r="657" ht="15" customHeight="1" s="79">
      <c r="A657" s="78">
        <f>IF('Importar Reservas'!A649="","",'Importar Reservas'!A649)</f>
        <v/>
      </c>
      <c r="B657" s="78">
        <f>IF($A657="","",'Importar Reservas'!B649)</f>
        <v/>
      </c>
      <c r="C657" s="78">
        <f>IF($A657="","",'Importar Reservas'!Z649)</f>
        <v/>
      </c>
      <c r="D657" s="78">
        <f>IF($A657="","",IF('Importar Reservas'!O649="",0,'Importar Reservas'!O649))</f>
        <v/>
      </c>
      <c r="E657" s="78">
        <f>IF($A657="","",IF('Importar Reservas'!N649="",0,'Importar Reservas'!N649))</f>
        <v/>
      </c>
      <c r="F657" s="78">
        <f>IF($A657="","",IFERROR(INDEX(Configurações!$C$5:$C$100,MATCH($C657,Configurações!$A$5:$A$100,0)),"Margem"))</f>
        <v/>
      </c>
      <c r="G657" s="78">
        <f>IF($A657="","",IFERROR(INDEX(Configurações!$B$5:$B$100,MATCH($C657,Configurações!$A$5:$A$100,0)),0))</f>
        <v/>
      </c>
      <c r="H657" s="78">
        <f>IF(OR($A657="",'Importar Reservas'!M649&lt;&gt;"Aprovado",$D657&lt;=0),"",MAX(0,IF($F657="Margem",$D657-$E657,$D657))*$G657)</f>
        <v/>
      </c>
    </row>
    <row r="658" ht="15" customHeight="1" s="79">
      <c r="A658" s="78">
        <f>IF('Importar Reservas'!A650="","",'Importar Reservas'!A650)</f>
        <v/>
      </c>
      <c r="B658" s="78">
        <f>IF($A658="","",'Importar Reservas'!B650)</f>
        <v/>
      </c>
      <c r="C658" s="78">
        <f>IF($A658="","",'Importar Reservas'!Z650)</f>
        <v/>
      </c>
      <c r="D658" s="78">
        <f>IF($A658="","",IF('Importar Reservas'!O650="",0,'Importar Reservas'!O650))</f>
        <v/>
      </c>
      <c r="E658" s="78">
        <f>IF($A658="","",IF('Importar Reservas'!N650="",0,'Importar Reservas'!N650))</f>
        <v/>
      </c>
      <c r="F658" s="78">
        <f>IF($A658="","",IFERROR(INDEX(Configurações!$C$5:$C$100,MATCH($C658,Configurações!$A$5:$A$100,0)),"Margem"))</f>
        <v/>
      </c>
      <c r="G658" s="78">
        <f>IF($A658="","",IFERROR(INDEX(Configurações!$B$5:$B$100,MATCH($C658,Configurações!$A$5:$A$100,0)),0))</f>
        <v/>
      </c>
      <c r="H658" s="78">
        <f>IF(OR($A658="",'Importar Reservas'!M650&lt;&gt;"Aprovado",$D658&lt;=0),"",MAX(0,IF($F658="Margem",$D658-$E658,$D658))*$G658)</f>
        <v/>
      </c>
    </row>
    <row r="659" ht="15" customHeight="1" s="79">
      <c r="A659" s="78">
        <f>IF('Importar Reservas'!A651="","",'Importar Reservas'!A651)</f>
        <v/>
      </c>
      <c r="B659" s="78">
        <f>IF($A659="","",'Importar Reservas'!B651)</f>
        <v/>
      </c>
      <c r="C659" s="78">
        <f>IF($A659="","",'Importar Reservas'!Z651)</f>
        <v/>
      </c>
      <c r="D659" s="78">
        <f>IF($A659="","",IF('Importar Reservas'!O651="",0,'Importar Reservas'!O651))</f>
        <v/>
      </c>
      <c r="E659" s="78">
        <f>IF($A659="","",IF('Importar Reservas'!N651="",0,'Importar Reservas'!N651))</f>
        <v/>
      </c>
      <c r="F659" s="78">
        <f>IF($A659="","",IFERROR(INDEX(Configurações!$C$5:$C$100,MATCH($C659,Configurações!$A$5:$A$100,0)),"Margem"))</f>
        <v/>
      </c>
      <c r="G659" s="78">
        <f>IF($A659="","",IFERROR(INDEX(Configurações!$B$5:$B$100,MATCH($C659,Configurações!$A$5:$A$100,0)),0))</f>
        <v/>
      </c>
      <c r="H659" s="78">
        <f>IF(OR($A659="",'Importar Reservas'!M651&lt;&gt;"Aprovado",$D659&lt;=0),"",MAX(0,IF($F659="Margem",$D659-$E659,$D659))*$G659)</f>
        <v/>
      </c>
    </row>
    <row r="660" ht="15" customHeight="1" s="79">
      <c r="A660" s="78">
        <f>IF('Importar Reservas'!A652="","",'Importar Reservas'!A652)</f>
        <v/>
      </c>
      <c r="B660" s="78">
        <f>IF($A660="","",'Importar Reservas'!B652)</f>
        <v/>
      </c>
      <c r="C660" s="78">
        <f>IF($A660="","",'Importar Reservas'!Z652)</f>
        <v/>
      </c>
      <c r="D660" s="78">
        <f>IF($A660="","",IF('Importar Reservas'!O652="",0,'Importar Reservas'!O652))</f>
        <v/>
      </c>
      <c r="E660" s="78">
        <f>IF($A660="","",IF('Importar Reservas'!N652="",0,'Importar Reservas'!N652))</f>
        <v/>
      </c>
      <c r="F660" s="78">
        <f>IF($A660="","",IFERROR(INDEX(Configurações!$C$5:$C$100,MATCH($C660,Configurações!$A$5:$A$100,0)),"Margem"))</f>
        <v/>
      </c>
      <c r="G660" s="78">
        <f>IF($A660="","",IFERROR(INDEX(Configurações!$B$5:$B$100,MATCH($C660,Configurações!$A$5:$A$100,0)),0))</f>
        <v/>
      </c>
      <c r="H660" s="78">
        <f>IF(OR($A660="",'Importar Reservas'!M652&lt;&gt;"Aprovado",$D660&lt;=0),"",MAX(0,IF($F660="Margem",$D660-$E660,$D660))*$G660)</f>
        <v/>
      </c>
    </row>
    <row r="661" ht="15" customHeight="1" s="79">
      <c r="A661" s="78">
        <f>IF('Importar Reservas'!A653="","",'Importar Reservas'!A653)</f>
        <v/>
      </c>
      <c r="B661" s="78">
        <f>IF($A661="","",'Importar Reservas'!B653)</f>
        <v/>
      </c>
      <c r="C661" s="78">
        <f>IF($A661="","",'Importar Reservas'!Z653)</f>
        <v/>
      </c>
      <c r="D661" s="78">
        <f>IF($A661="","",IF('Importar Reservas'!O653="",0,'Importar Reservas'!O653))</f>
        <v/>
      </c>
      <c r="E661" s="78">
        <f>IF($A661="","",IF('Importar Reservas'!N653="",0,'Importar Reservas'!N653))</f>
        <v/>
      </c>
      <c r="F661" s="78">
        <f>IF($A661="","",IFERROR(INDEX(Configurações!$C$5:$C$100,MATCH($C661,Configurações!$A$5:$A$100,0)),"Margem"))</f>
        <v/>
      </c>
      <c r="G661" s="78">
        <f>IF($A661="","",IFERROR(INDEX(Configurações!$B$5:$B$100,MATCH($C661,Configurações!$A$5:$A$100,0)),0))</f>
        <v/>
      </c>
      <c r="H661" s="78">
        <f>IF(OR($A661="",'Importar Reservas'!M653&lt;&gt;"Aprovado",$D661&lt;=0),"",MAX(0,IF($F661="Margem",$D661-$E661,$D661))*$G661)</f>
        <v/>
      </c>
    </row>
    <row r="662" ht="15" customHeight="1" s="79">
      <c r="A662" s="78">
        <f>IF('Importar Reservas'!A654="","",'Importar Reservas'!A654)</f>
        <v/>
      </c>
      <c r="B662" s="78">
        <f>IF($A662="","",'Importar Reservas'!B654)</f>
        <v/>
      </c>
      <c r="C662" s="78">
        <f>IF($A662="","",'Importar Reservas'!Z654)</f>
        <v/>
      </c>
      <c r="D662" s="78">
        <f>IF($A662="","",IF('Importar Reservas'!O654="",0,'Importar Reservas'!O654))</f>
        <v/>
      </c>
      <c r="E662" s="78">
        <f>IF($A662="","",IF('Importar Reservas'!N654="",0,'Importar Reservas'!N654))</f>
        <v/>
      </c>
      <c r="F662" s="78">
        <f>IF($A662="","",IFERROR(INDEX(Configurações!$C$5:$C$100,MATCH($C662,Configurações!$A$5:$A$100,0)),"Margem"))</f>
        <v/>
      </c>
      <c r="G662" s="78">
        <f>IF($A662="","",IFERROR(INDEX(Configurações!$B$5:$B$100,MATCH($C662,Configurações!$A$5:$A$100,0)),0))</f>
        <v/>
      </c>
      <c r="H662" s="78">
        <f>IF(OR($A662="",'Importar Reservas'!M654&lt;&gt;"Aprovado",$D662&lt;=0),"",MAX(0,IF($F662="Margem",$D662-$E662,$D662))*$G662)</f>
        <v/>
      </c>
    </row>
    <row r="663" ht="15" customHeight="1" s="79">
      <c r="A663" s="78">
        <f>IF('Importar Reservas'!A655="","",'Importar Reservas'!A655)</f>
        <v/>
      </c>
      <c r="B663" s="78">
        <f>IF($A663="","",'Importar Reservas'!B655)</f>
        <v/>
      </c>
      <c r="C663" s="78">
        <f>IF($A663="","",'Importar Reservas'!Z655)</f>
        <v/>
      </c>
      <c r="D663" s="78">
        <f>IF($A663="","",IF('Importar Reservas'!O655="",0,'Importar Reservas'!O655))</f>
        <v/>
      </c>
      <c r="E663" s="78">
        <f>IF($A663="","",IF('Importar Reservas'!N655="",0,'Importar Reservas'!N655))</f>
        <v/>
      </c>
      <c r="F663" s="78">
        <f>IF($A663="","",IFERROR(INDEX(Configurações!$C$5:$C$100,MATCH($C663,Configurações!$A$5:$A$100,0)),"Margem"))</f>
        <v/>
      </c>
      <c r="G663" s="78">
        <f>IF($A663="","",IFERROR(INDEX(Configurações!$B$5:$B$100,MATCH($C663,Configurações!$A$5:$A$100,0)),0))</f>
        <v/>
      </c>
      <c r="H663" s="78">
        <f>IF(OR($A663="",'Importar Reservas'!M655&lt;&gt;"Aprovado",$D663&lt;=0),"",MAX(0,IF($F663="Margem",$D663-$E663,$D663))*$G663)</f>
        <v/>
      </c>
    </row>
    <row r="664" ht="15" customHeight="1" s="79">
      <c r="A664" s="78">
        <f>IF('Importar Reservas'!A656="","",'Importar Reservas'!A656)</f>
        <v/>
      </c>
      <c r="B664" s="78">
        <f>IF($A664="","",'Importar Reservas'!B656)</f>
        <v/>
      </c>
      <c r="C664" s="78">
        <f>IF($A664="","",'Importar Reservas'!Z656)</f>
        <v/>
      </c>
      <c r="D664" s="78">
        <f>IF($A664="","",IF('Importar Reservas'!O656="",0,'Importar Reservas'!O656))</f>
        <v/>
      </c>
      <c r="E664" s="78">
        <f>IF($A664="","",IF('Importar Reservas'!N656="",0,'Importar Reservas'!N656))</f>
        <v/>
      </c>
      <c r="F664" s="78">
        <f>IF($A664="","",IFERROR(INDEX(Configurações!$C$5:$C$100,MATCH($C664,Configurações!$A$5:$A$100,0)),"Margem"))</f>
        <v/>
      </c>
      <c r="G664" s="78">
        <f>IF($A664="","",IFERROR(INDEX(Configurações!$B$5:$B$100,MATCH($C664,Configurações!$A$5:$A$100,0)),0))</f>
        <v/>
      </c>
      <c r="H664" s="78">
        <f>IF(OR($A664="",'Importar Reservas'!M656&lt;&gt;"Aprovado",$D664&lt;=0),"",MAX(0,IF($F664="Margem",$D664-$E664,$D664))*$G664)</f>
        <v/>
      </c>
    </row>
    <row r="665" ht="15" customHeight="1" s="79">
      <c r="A665" s="78">
        <f>IF('Importar Reservas'!A657="","",'Importar Reservas'!A657)</f>
        <v/>
      </c>
      <c r="B665" s="78">
        <f>IF($A665="","",'Importar Reservas'!B657)</f>
        <v/>
      </c>
      <c r="C665" s="78">
        <f>IF($A665="","",'Importar Reservas'!Z657)</f>
        <v/>
      </c>
      <c r="D665" s="78">
        <f>IF($A665="","",IF('Importar Reservas'!O657="",0,'Importar Reservas'!O657))</f>
        <v/>
      </c>
      <c r="E665" s="78">
        <f>IF($A665="","",IF('Importar Reservas'!N657="",0,'Importar Reservas'!N657))</f>
        <v/>
      </c>
      <c r="F665" s="78">
        <f>IF($A665="","",IFERROR(INDEX(Configurações!$C$5:$C$100,MATCH($C665,Configurações!$A$5:$A$100,0)),"Margem"))</f>
        <v/>
      </c>
      <c r="G665" s="78">
        <f>IF($A665="","",IFERROR(INDEX(Configurações!$B$5:$B$100,MATCH($C665,Configurações!$A$5:$A$100,0)),0))</f>
        <v/>
      </c>
      <c r="H665" s="78">
        <f>IF(OR($A665="",'Importar Reservas'!M657&lt;&gt;"Aprovado",$D665&lt;=0),"",MAX(0,IF($F665="Margem",$D665-$E665,$D665))*$G665)</f>
        <v/>
      </c>
    </row>
    <row r="666" ht="15" customHeight="1" s="79">
      <c r="A666" s="78">
        <f>IF('Importar Reservas'!A658="","",'Importar Reservas'!A658)</f>
        <v/>
      </c>
      <c r="B666" s="78">
        <f>IF($A666="","",'Importar Reservas'!B658)</f>
        <v/>
      </c>
      <c r="C666" s="78">
        <f>IF($A666="","",'Importar Reservas'!Z658)</f>
        <v/>
      </c>
      <c r="D666" s="78">
        <f>IF($A666="","",IF('Importar Reservas'!O658="",0,'Importar Reservas'!O658))</f>
        <v/>
      </c>
      <c r="E666" s="78">
        <f>IF($A666="","",IF('Importar Reservas'!N658="",0,'Importar Reservas'!N658))</f>
        <v/>
      </c>
      <c r="F666" s="78">
        <f>IF($A666="","",IFERROR(INDEX(Configurações!$C$5:$C$100,MATCH($C666,Configurações!$A$5:$A$100,0)),"Margem"))</f>
        <v/>
      </c>
      <c r="G666" s="78">
        <f>IF($A666="","",IFERROR(INDEX(Configurações!$B$5:$B$100,MATCH($C666,Configurações!$A$5:$A$100,0)),0))</f>
        <v/>
      </c>
      <c r="H666" s="78">
        <f>IF(OR($A666="",'Importar Reservas'!M658&lt;&gt;"Aprovado",$D666&lt;=0),"",MAX(0,IF($F666="Margem",$D666-$E666,$D666))*$G666)</f>
        <v/>
      </c>
    </row>
    <row r="667" ht="15" customHeight="1" s="79">
      <c r="A667" s="78">
        <f>IF('Importar Reservas'!A659="","",'Importar Reservas'!A659)</f>
        <v/>
      </c>
      <c r="B667" s="78">
        <f>IF($A667="","",'Importar Reservas'!B659)</f>
        <v/>
      </c>
      <c r="C667" s="78">
        <f>IF($A667="","",'Importar Reservas'!Z659)</f>
        <v/>
      </c>
      <c r="D667" s="78">
        <f>IF($A667="","",IF('Importar Reservas'!O659="",0,'Importar Reservas'!O659))</f>
        <v/>
      </c>
      <c r="E667" s="78">
        <f>IF($A667="","",IF('Importar Reservas'!N659="",0,'Importar Reservas'!N659))</f>
        <v/>
      </c>
      <c r="F667" s="78">
        <f>IF($A667="","",IFERROR(INDEX(Configurações!$C$5:$C$100,MATCH($C667,Configurações!$A$5:$A$100,0)),"Margem"))</f>
        <v/>
      </c>
      <c r="G667" s="78">
        <f>IF($A667="","",IFERROR(INDEX(Configurações!$B$5:$B$100,MATCH($C667,Configurações!$A$5:$A$100,0)),0))</f>
        <v/>
      </c>
      <c r="H667" s="78">
        <f>IF(OR($A667="",'Importar Reservas'!M659&lt;&gt;"Aprovado",$D667&lt;=0),"",MAX(0,IF($F667="Margem",$D667-$E667,$D667))*$G667)</f>
        <v/>
      </c>
    </row>
    <row r="668" ht="15" customHeight="1" s="79">
      <c r="A668" s="78">
        <f>IF('Importar Reservas'!A660="","",'Importar Reservas'!A660)</f>
        <v/>
      </c>
      <c r="B668" s="78">
        <f>IF($A668="","",'Importar Reservas'!B660)</f>
        <v/>
      </c>
      <c r="C668" s="78">
        <f>IF($A668="","",'Importar Reservas'!Z660)</f>
        <v/>
      </c>
      <c r="D668" s="78">
        <f>IF($A668="","",IF('Importar Reservas'!O660="",0,'Importar Reservas'!O660))</f>
        <v/>
      </c>
      <c r="E668" s="78">
        <f>IF($A668="","",IF('Importar Reservas'!N660="",0,'Importar Reservas'!N660))</f>
        <v/>
      </c>
      <c r="F668" s="78">
        <f>IF($A668="","",IFERROR(INDEX(Configurações!$C$5:$C$100,MATCH($C668,Configurações!$A$5:$A$100,0)),"Margem"))</f>
        <v/>
      </c>
      <c r="G668" s="78">
        <f>IF($A668="","",IFERROR(INDEX(Configurações!$B$5:$B$100,MATCH($C668,Configurações!$A$5:$A$100,0)),0))</f>
        <v/>
      </c>
      <c r="H668" s="78">
        <f>IF(OR($A668="",'Importar Reservas'!M660&lt;&gt;"Aprovado",$D668&lt;=0),"",MAX(0,IF($F668="Margem",$D668-$E668,$D668))*$G668)</f>
        <v/>
      </c>
    </row>
    <row r="669" ht="15" customHeight="1" s="79">
      <c r="A669" s="78">
        <f>IF('Importar Reservas'!A661="","",'Importar Reservas'!A661)</f>
        <v/>
      </c>
      <c r="B669" s="78">
        <f>IF($A669="","",'Importar Reservas'!B661)</f>
        <v/>
      </c>
      <c r="C669" s="78">
        <f>IF($A669="","",'Importar Reservas'!Z661)</f>
        <v/>
      </c>
      <c r="D669" s="78">
        <f>IF($A669="","",IF('Importar Reservas'!O661="",0,'Importar Reservas'!O661))</f>
        <v/>
      </c>
      <c r="E669" s="78">
        <f>IF($A669="","",IF('Importar Reservas'!N661="",0,'Importar Reservas'!N661))</f>
        <v/>
      </c>
      <c r="F669" s="78">
        <f>IF($A669="","",IFERROR(INDEX(Configurações!$C$5:$C$100,MATCH($C669,Configurações!$A$5:$A$100,0)),"Margem"))</f>
        <v/>
      </c>
      <c r="G669" s="78">
        <f>IF($A669="","",IFERROR(INDEX(Configurações!$B$5:$B$100,MATCH($C669,Configurações!$A$5:$A$100,0)),0))</f>
        <v/>
      </c>
      <c r="H669" s="78">
        <f>IF(OR($A669="",'Importar Reservas'!M661&lt;&gt;"Aprovado",$D669&lt;=0),"",MAX(0,IF($F669="Margem",$D669-$E669,$D669))*$G669)</f>
        <v/>
      </c>
    </row>
    <row r="670" ht="15" customHeight="1" s="79">
      <c r="A670" s="78">
        <f>IF('Importar Reservas'!A662="","",'Importar Reservas'!A662)</f>
        <v/>
      </c>
      <c r="B670" s="78">
        <f>IF($A670="","",'Importar Reservas'!B662)</f>
        <v/>
      </c>
      <c r="C670" s="78">
        <f>IF($A670="","",'Importar Reservas'!Z662)</f>
        <v/>
      </c>
      <c r="D670" s="78">
        <f>IF($A670="","",IF('Importar Reservas'!O662="",0,'Importar Reservas'!O662))</f>
        <v/>
      </c>
      <c r="E670" s="78">
        <f>IF($A670="","",IF('Importar Reservas'!N662="",0,'Importar Reservas'!N662))</f>
        <v/>
      </c>
      <c r="F670" s="78">
        <f>IF($A670="","",IFERROR(INDEX(Configurações!$C$5:$C$100,MATCH($C670,Configurações!$A$5:$A$100,0)),"Margem"))</f>
        <v/>
      </c>
      <c r="G670" s="78">
        <f>IF($A670="","",IFERROR(INDEX(Configurações!$B$5:$B$100,MATCH($C670,Configurações!$A$5:$A$100,0)),0))</f>
        <v/>
      </c>
      <c r="H670" s="78">
        <f>IF(OR($A670="",'Importar Reservas'!M662&lt;&gt;"Aprovado",$D670&lt;=0),"",MAX(0,IF($F670="Margem",$D670-$E670,$D670))*$G670)</f>
        <v/>
      </c>
    </row>
    <row r="671" ht="15" customHeight="1" s="79">
      <c r="A671" s="78">
        <f>IF('Importar Reservas'!A663="","",'Importar Reservas'!A663)</f>
        <v/>
      </c>
      <c r="B671" s="78">
        <f>IF($A671="","",'Importar Reservas'!B663)</f>
        <v/>
      </c>
      <c r="C671" s="78">
        <f>IF($A671="","",'Importar Reservas'!Z663)</f>
        <v/>
      </c>
      <c r="D671" s="78">
        <f>IF($A671="","",IF('Importar Reservas'!O663="",0,'Importar Reservas'!O663))</f>
        <v/>
      </c>
      <c r="E671" s="78">
        <f>IF($A671="","",IF('Importar Reservas'!N663="",0,'Importar Reservas'!N663))</f>
        <v/>
      </c>
      <c r="F671" s="78">
        <f>IF($A671="","",IFERROR(INDEX(Configurações!$C$5:$C$100,MATCH($C671,Configurações!$A$5:$A$100,0)),"Margem"))</f>
        <v/>
      </c>
      <c r="G671" s="78">
        <f>IF($A671="","",IFERROR(INDEX(Configurações!$B$5:$B$100,MATCH($C671,Configurações!$A$5:$A$100,0)),0))</f>
        <v/>
      </c>
      <c r="H671" s="78">
        <f>IF(OR($A671="",'Importar Reservas'!M663&lt;&gt;"Aprovado",$D671&lt;=0),"",MAX(0,IF($F671="Margem",$D671-$E671,$D671))*$G671)</f>
        <v/>
      </c>
    </row>
    <row r="672" ht="15" customHeight="1" s="79">
      <c r="A672" s="78">
        <f>IF('Importar Reservas'!A664="","",'Importar Reservas'!A664)</f>
        <v/>
      </c>
      <c r="B672" s="78">
        <f>IF($A672="","",'Importar Reservas'!B664)</f>
        <v/>
      </c>
      <c r="C672" s="78">
        <f>IF($A672="","",'Importar Reservas'!Z664)</f>
        <v/>
      </c>
      <c r="D672" s="78">
        <f>IF($A672="","",IF('Importar Reservas'!O664="",0,'Importar Reservas'!O664))</f>
        <v/>
      </c>
      <c r="E672" s="78">
        <f>IF($A672="","",IF('Importar Reservas'!N664="",0,'Importar Reservas'!N664))</f>
        <v/>
      </c>
      <c r="F672" s="78">
        <f>IF($A672="","",IFERROR(INDEX(Configurações!$C$5:$C$100,MATCH($C672,Configurações!$A$5:$A$100,0)),"Margem"))</f>
        <v/>
      </c>
      <c r="G672" s="78">
        <f>IF($A672="","",IFERROR(INDEX(Configurações!$B$5:$B$100,MATCH($C672,Configurações!$A$5:$A$100,0)),0))</f>
        <v/>
      </c>
      <c r="H672" s="78">
        <f>IF(OR($A672="",'Importar Reservas'!M664&lt;&gt;"Aprovado",$D672&lt;=0),"",MAX(0,IF($F672="Margem",$D672-$E672,$D672))*$G672)</f>
        <v/>
      </c>
    </row>
    <row r="673" ht="15" customHeight="1" s="79">
      <c r="A673" s="78">
        <f>IF('Importar Reservas'!A665="","",'Importar Reservas'!A665)</f>
        <v/>
      </c>
      <c r="B673" s="78">
        <f>IF($A673="","",'Importar Reservas'!B665)</f>
        <v/>
      </c>
      <c r="C673" s="78">
        <f>IF($A673="","",'Importar Reservas'!Z665)</f>
        <v/>
      </c>
      <c r="D673" s="78">
        <f>IF($A673="","",IF('Importar Reservas'!O665="",0,'Importar Reservas'!O665))</f>
        <v/>
      </c>
      <c r="E673" s="78">
        <f>IF($A673="","",IF('Importar Reservas'!N665="",0,'Importar Reservas'!N665))</f>
        <v/>
      </c>
      <c r="F673" s="78">
        <f>IF($A673="","",IFERROR(INDEX(Configurações!$C$5:$C$100,MATCH($C673,Configurações!$A$5:$A$100,0)),"Margem"))</f>
        <v/>
      </c>
      <c r="G673" s="78">
        <f>IF($A673="","",IFERROR(INDEX(Configurações!$B$5:$B$100,MATCH($C673,Configurações!$A$5:$A$100,0)),0))</f>
        <v/>
      </c>
      <c r="H673" s="78">
        <f>IF(OR($A673="",'Importar Reservas'!M665&lt;&gt;"Aprovado",$D673&lt;=0),"",MAX(0,IF($F673="Margem",$D673-$E673,$D673))*$G673)</f>
        <v/>
      </c>
    </row>
    <row r="674" ht="15" customHeight="1" s="79">
      <c r="A674" s="78">
        <f>IF('Importar Reservas'!A666="","",'Importar Reservas'!A666)</f>
        <v/>
      </c>
      <c r="B674" s="78">
        <f>IF($A674="","",'Importar Reservas'!B666)</f>
        <v/>
      </c>
      <c r="C674" s="78">
        <f>IF($A674="","",'Importar Reservas'!Z666)</f>
        <v/>
      </c>
      <c r="D674" s="78">
        <f>IF($A674="","",IF('Importar Reservas'!O666="",0,'Importar Reservas'!O666))</f>
        <v/>
      </c>
      <c r="E674" s="78">
        <f>IF($A674="","",IF('Importar Reservas'!N666="",0,'Importar Reservas'!N666))</f>
        <v/>
      </c>
      <c r="F674" s="78">
        <f>IF($A674="","",IFERROR(INDEX(Configurações!$C$5:$C$100,MATCH($C674,Configurações!$A$5:$A$100,0)),"Margem"))</f>
        <v/>
      </c>
      <c r="G674" s="78">
        <f>IF($A674="","",IFERROR(INDEX(Configurações!$B$5:$B$100,MATCH($C674,Configurações!$A$5:$A$100,0)),0))</f>
        <v/>
      </c>
      <c r="H674" s="78">
        <f>IF(OR($A674="",'Importar Reservas'!M666&lt;&gt;"Aprovado",$D674&lt;=0),"",MAX(0,IF($F674="Margem",$D674-$E674,$D674))*$G674)</f>
        <v/>
      </c>
    </row>
    <row r="675" ht="15" customHeight="1" s="79">
      <c r="A675" s="78">
        <f>IF('Importar Reservas'!A667="","",'Importar Reservas'!A667)</f>
        <v/>
      </c>
      <c r="B675" s="78">
        <f>IF($A675="","",'Importar Reservas'!B667)</f>
        <v/>
      </c>
      <c r="C675" s="78">
        <f>IF($A675="","",'Importar Reservas'!Z667)</f>
        <v/>
      </c>
      <c r="D675" s="78">
        <f>IF($A675="","",IF('Importar Reservas'!O667="",0,'Importar Reservas'!O667))</f>
        <v/>
      </c>
      <c r="E675" s="78">
        <f>IF($A675="","",IF('Importar Reservas'!N667="",0,'Importar Reservas'!N667))</f>
        <v/>
      </c>
      <c r="F675" s="78">
        <f>IF($A675="","",IFERROR(INDEX(Configurações!$C$5:$C$100,MATCH($C675,Configurações!$A$5:$A$100,0)),"Margem"))</f>
        <v/>
      </c>
      <c r="G675" s="78">
        <f>IF($A675="","",IFERROR(INDEX(Configurações!$B$5:$B$100,MATCH($C675,Configurações!$A$5:$A$100,0)),0))</f>
        <v/>
      </c>
      <c r="H675" s="78">
        <f>IF(OR($A675="",'Importar Reservas'!M667&lt;&gt;"Aprovado",$D675&lt;=0),"",MAX(0,IF($F675="Margem",$D675-$E675,$D675))*$G675)</f>
        <v/>
      </c>
    </row>
    <row r="676" ht="15" customHeight="1" s="79">
      <c r="A676" s="78">
        <f>IF('Importar Reservas'!A668="","",'Importar Reservas'!A668)</f>
        <v/>
      </c>
      <c r="B676" s="78">
        <f>IF($A676="","",'Importar Reservas'!B668)</f>
        <v/>
      </c>
      <c r="C676" s="78">
        <f>IF($A676="","",'Importar Reservas'!Z668)</f>
        <v/>
      </c>
      <c r="D676" s="78">
        <f>IF($A676="","",IF('Importar Reservas'!O668="",0,'Importar Reservas'!O668))</f>
        <v/>
      </c>
      <c r="E676" s="78">
        <f>IF($A676="","",IF('Importar Reservas'!N668="",0,'Importar Reservas'!N668))</f>
        <v/>
      </c>
      <c r="F676" s="78">
        <f>IF($A676="","",IFERROR(INDEX(Configurações!$C$5:$C$100,MATCH($C676,Configurações!$A$5:$A$100,0)),"Margem"))</f>
        <v/>
      </c>
      <c r="G676" s="78">
        <f>IF($A676="","",IFERROR(INDEX(Configurações!$B$5:$B$100,MATCH($C676,Configurações!$A$5:$A$100,0)),0))</f>
        <v/>
      </c>
      <c r="H676" s="78">
        <f>IF(OR($A676="",'Importar Reservas'!M668&lt;&gt;"Aprovado",$D676&lt;=0),"",MAX(0,IF($F676="Margem",$D676-$E676,$D676))*$G676)</f>
        <v/>
      </c>
    </row>
    <row r="677" ht="15" customHeight="1" s="79">
      <c r="A677" s="78">
        <f>IF('Importar Reservas'!A669="","",'Importar Reservas'!A669)</f>
        <v/>
      </c>
      <c r="B677" s="78">
        <f>IF($A677="","",'Importar Reservas'!B669)</f>
        <v/>
      </c>
      <c r="C677" s="78">
        <f>IF($A677="","",'Importar Reservas'!Z669)</f>
        <v/>
      </c>
      <c r="D677" s="78">
        <f>IF($A677="","",IF('Importar Reservas'!O669="",0,'Importar Reservas'!O669))</f>
        <v/>
      </c>
      <c r="E677" s="78">
        <f>IF($A677="","",IF('Importar Reservas'!N669="",0,'Importar Reservas'!N669))</f>
        <v/>
      </c>
      <c r="F677" s="78">
        <f>IF($A677="","",IFERROR(INDEX(Configurações!$C$5:$C$100,MATCH($C677,Configurações!$A$5:$A$100,0)),"Margem"))</f>
        <v/>
      </c>
      <c r="G677" s="78">
        <f>IF($A677="","",IFERROR(INDEX(Configurações!$B$5:$B$100,MATCH($C677,Configurações!$A$5:$A$100,0)),0))</f>
        <v/>
      </c>
      <c r="H677" s="78">
        <f>IF(OR($A677="",'Importar Reservas'!M669&lt;&gt;"Aprovado",$D677&lt;=0),"",MAX(0,IF($F677="Margem",$D677-$E677,$D677))*$G677)</f>
        <v/>
      </c>
    </row>
    <row r="678" ht="15" customHeight="1" s="79">
      <c r="A678" s="78">
        <f>IF('Importar Reservas'!A670="","",'Importar Reservas'!A670)</f>
        <v/>
      </c>
      <c r="B678" s="78">
        <f>IF($A678="","",'Importar Reservas'!B670)</f>
        <v/>
      </c>
      <c r="C678" s="78">
        <f>IF($A678="","",'Importar Reservas'!Z670)</f>
        <v/>
      </c>
      <c r="D678" s="78">
        <f>IF($A678="","",IF('Importar Reservas'!O670="",0,'Importar Reservas'!O670))</f>
        <v/>
      </c>
      <c r="E678" s="78">
        <f>IF($A678="","",IF('Importar Reservas'!N670="",0,'Importar Reservas'!N670))</f>
        <v/>
      </c>
      <c r="F678" s="78">
        <f>IF($A678="","",IFERROR(INDEX(Configurações!$C$5:$C$100,MATCH($C678,Configurações!$A$5:$A$100,0)),"Margem"))</f>
        <v/>
      </c>
      <c r="G678" s="78">
        <f>IF($A678="","",IFERROR(INDEX(Configurações!$B$5:$B$100,MATCH($C678,Configurações!$A$5:$A$100,0)),0))</f>
        <v/>
      </c>
      <c r="H678" s="78">
        <f>IF(OR($A678="",'Importar Reservas'!M670&lt;&gt;"Aprovado",$D678&lt;=0),"",MAX(0,IF($F678="Margem",$D678-$E678,$D678))*$G678)</f>
        <v/>
      </c>
    </row>
    <row r="679" ht="15" customHeight="1" s="79">
      <c r="A679" s="78">
        <f>IF('Importar Reservas'!A671="","",'Importar Reservas'!A671)</f>
        <v/>
      </c>
      <c r="B679" s="78">
        <f>IF($A679="","",'Importar Reservas'!B671)</f>
        <v/>
      </c>
      <c r="C679" s="78">
        <f>IF($A679="","",'Importar Reservas'!Z671)</f>
        <v/>
      </c>
      <c r="D679" s="78">
        <f>IF($A679="","",IF('Importar Reservas'!O671="",0,'Importar Reservas'!O671))</f>
        <v/>
      </c>
      <c r="E679" s="78">
        <f>IF($A679="","",IF('Importar Reservas'!N671="",0,'Importar Reservas'!N671))</f>
        <v/>
      </c>
      <c r="F679" s="78">
        <f>IF($A679="","",IFERROR(INDEX(Configurações!$C$5:$C$100,MATCH($C679,Configurações!$A$5:$A$100,0)),"Margem"))</f>
        <v/>
      </c>
      <c r="G679" s="78">
        <f>IF($A679="","",IFERROR(INDEX(Configurações!$B$5:$B$100,MATCH($C679,Configurações!$A$5:$A$100,0)),0))</f>
        <v/>
      </c>
      <c r="H679" s="78">
        <f>IF(OR($A679="",'Importar Reservas'!M671&lt;&gt;"Aprovado",$D679&lt;=0),"",MAX(0,IF($F679="Margem",$D679-$E679,$D679))*$G679)</f>
        <v/>
      </c>
    </row>
    <row r="680" ht="15" customHeight="1" s="79">
      <c r="A680" s="78">
        <f>IF('Importar Reservas'!A672="","",'Importar Reservas'!A672)</f>
        <v/>
      </c>
      <c r="B680" s="78">
        <f>IF($A680="","",'Importar Reservas'!B672)</f>
        <v/>
      </c>
      <c r="C680" s="78">
        <f>IF($A680="","",'Importar Reservas'!Z672)</f>
        <v/>
      </c>
      <c r="D680" s="78">
        <f>IF($A680="","",IF('Importar Reservas'!O672="",0,'Importar Reservas'!O672))</f>
        <v/>
      </c>
      <c r="E680" s="78">
        <f>IF($A680="","",IF('Importar Reservas'!N672="",0,'Importar Reservas'!N672))</f>
        <v/>
      </c>
      <c r="F680" s="78">
        <f>IF($A680="","",IFERROR(INDEX(Configurações!$C$5:$C$100,MATCH($C680,Configurações!$A$5:$A$100,0)),"Margem"))</f>
        <v/>
      </c>
      <c r="G680" s="78">
        <f>IF($A680="","",IFERROR(INDEX(Configurações!$B$5:$B$100,MATCH($C680,Configurações!$A$5:$A$100,0)),0))</f>
        <v/>
      </c>
      <c r="H680" s="78">
        <f>IF(OR($A680="",'Importar Reservas'!M672&lt;&gt;"Aprovado",$D680&lt;=0),"",MAX(0,IF($F680="Margem",$D680-$E680,$D680))*$G680)</f>
        <v/>
      </c>
    </row>
    <row r="681" ht="15" customHeight="1" s="79">
      <c r="A681" s="78">
        <f>IF('Importar Reservas'!A673="","",'Importar Reservas'!A673)</f>
        <v/>
      </c>
      <c r="B681" s="78">
        <f>IF($A681="","",'Importar Reservas'!B673)</f>
        <v/>
      </c>
      <c r="C681" s="78">
        <f>IF($A681="","",'Importar Reservas'!Z673)</f>
        <v/>
      </c>
      <c r="D681" s="78">
        <f>IF($A681="","",IF('Importar Reservas'!O673="",0,'Importar Reservas'!O673))</f>
        <v/>
      </c>
      <c r="E681" s="78">
        <f>IF($A681="","",IF('Importar Reservas'!N673="",0,'Importar Reservas'!N673))</f>
        <v/>
      </c>
      <c r="F681" s="78">
        <f>IF($A681="","",IFERROR(INDEX(Configurações!$C$5:$C$100,MATCH($C681,Configurações!$A$5:$A$100,0)),"Margem"))</f>
        <v/>
      </c>
      <c r="G681" s="78">
        <f>IF($A681="","",IFERROR(INDEX(Configurações!$B$5:$B$100,MATCH($C681,Configurações!$A$5:$A$100,0)),0))</f>
        <v/>
      </c>
      <c r="H681" s="78">
        <f>IF(OR($A681="",'Importar Reservas'!M673&lt;&gt;"Aprovado",$D681&lt;=0),"",MAX(0,IF($F681="Margem",$D681-$E681,$D681))*$G681)</f>
        <v/>
      </c>
    </row>
    <row r="682" ht="15" customHeight="1" s="79">
      <c r="A682" s="78">
        <f>IF('Importar Reservas'!A674="","",'Importar Reservas'!A674)</f>
        <v/>
      </c>
      <c r="B682" s="78">
        <f>IF($A682="","",'Importar Reservas'!B674)</f>
        <v/>
      </c>
      <c r="C682" s="78">
        <f>IF($A682="","",'Importar Reservas'!Z674)</f>
        <v/>
      </c>
      <c r="D682" s="78">
        <f>IF($A682="","",IF('Importar Reservas'!O674="",0,'Importar Reservas'!O674))</f>
        <v/>
      </c>
      <c r="E682" s="78">
        <f>IF($A682="","",IF('Importar Reservas'!N674="",0,'Importar Reservas'!N674))</f>
        <v/>
      </c>
      <c r="F682" s="78">
        <f>IF($A682="","",IFERROR(INDEX(Configurações!$C$5:$C$100,MATCH($C682,Configurações!$A$5:$A$100,0)),"Margem"))</f>
        <v/>
      </c>
      <c r="G682" s="78">
        <f>IF($A682="","",IFERROR(INDEX(Configurações!$B$5:$B$100,MATCH($C682,Configurações!$A$5:$A$100,0)),0))</f>
        <v/>
      </c>
      <c r="H682" s="78">
        <f>IF(OR($A682="",'Importar Reservas'!M674&lt;&gt;"Aprovado",$D682&lt;=0),"",MAX(0,IF($F682="Margem",$D682-$E682,$D682))*$G682)</f>
        <v/>
      </c>
    </row>
    <row r="683" ht="15" customHeight="1" s="79">
      <c r="A683" s="78">
        <f>IF('Importar Reservas'!A675="","",'Importar Reservas'!A675)</f>
        <v/>
      </c>
      <c r="B683" s="78">
        <f>IF($A683="","",'Importar Reservas'!B675)</f>
        <v/>
      </c>
      <c r="C683" s="78">
        <f>IF($A683="","",'Importar Reservas'!Z675)</f>
        <v/>
      </c>
      <c r="D683" s="78">
        <f>IF($A683="","",IF('Importar Reservas'!O675="",0,'Importar Reservas'!O675))</f>
        <v/>
      </c>
      <c r="E683" s="78">
        <f>IF($A683="","",IF('Importar Reservas'!N675="",0,'Importar Reservas'!N675))</f>
        <v/>
      </c>
      <c r="F683" s="78">
        <f>IF($A683="","",IFERROR(INDEX(Configurações!$C$5:$C$100,MATCH($C683,Configurações!$A$5:$A$100,0)),"Margem"))</f>
        <v/>
      </c>
      <c r="G683" s="78">
        <f>IF($A683="","",IFERROR(INDEX(Configurações!$B$5:$B$100,MATCH($C683,Configurações!$A$5:$A$100,0)),0))</f>
        <v/>
      </c>
      <c r="H683" s="78">
        <f>IF(OR($A683="",'Importar Reservas'!M675&lt;&gt;"Aprovado",$D683&lt;=0),"",MAX(0,IF($F683="Margem",$D683-$E683,$D683))*$G683)</f>
        <v/>
      </c>
    </row>
    <row r="684" ht="15" customHeight="1" s="79">
      <c r="A684" s="78">
        <f>IF('Importar Reservas'!A676="","",'Importar Reservas'!A676)</f>
        <v/>
      </c>
      <c r="B684" s="78">
        <f>IF($A684="","",'Importar Reservas'!B676)</f>
        <v/>
      </c>
      <c r="C684" s="78">
        <f>IF($A684="","",'Importar Reservas'!Z676)</f>
        <v/>
      </c>
      <c r="D684" s="78">
        <f>IF($A684="","",IF('Importar Reservas'!O676="",0,'Importar Reservas'!O676))</f>
        <v/>
      </c>
      <c r="E684" s="78">
        <f>IF($A684="","",IF('Importar Reservas'!N676="",0,'Importar Reservas'!N676))</f>
        <v/>
      </c>
      <c r="F684" s="78">
        <f>IF($A684="","",IFERROR(INDEX(Configurações!$C$5:$C$100,MATCH($C684,Configurações!$A$5:$A$100,0)),"Margem"))</f>
        <v/>
      </c>
      <c r="G684" s="78">
        <f>IF($A684="","",IFERROR(INDEX(Configurações!$B$5:$B$100,MATCH($C684,Configurações!$A$5:$A$100,0)),0))</f>
        <v/>
      </c>
      <c r="H684" s="78">
        <f>IF(OR($A684="",'Importar Reservas'!M676&lt;&gt;"Aprovado",$D684&lt;=0),"",MAX(0,IF($F684="Margem",$D684-$E684,$D684))*$G684)</f>
        <v/>
      </c>
    </row>
    <row r="685" ht="15" customHeight="1" s="79">
      <c r="A685" s="78">
        <f>IF('Importar Reservas'!A677="","",'Importar Reservas'!A677)</f>
        <v/>
      </c>
      <c r="B685" s="78">
        <f>IF($A685="","",'Importar Reservas'!B677)</f>
        <v/>
      </c>
      <c r="C685" s="78">
        <f>IF($A685="","",'Importar Reservas'!Z677)</f>
        <v/>
      </c>
      <c r="D685" s="78">
        <f>IF($A685="","",IF('Importar Reservas'!O677="",0,'Importar Reservas'!O677))</f>
        <v/>
      </c>
      <c r="E685" s="78">
        <f>IF($A685="","",IF('Importar Reservas'!N677="",0,'Importar Reservas'!N677))</f>
        <v/>
      </c>
      <c r="F685" s="78">
        <f>IF($A685="","",IFERROR(INDEX(Configurações!$C$5:$C$100,MATCH($C685,Configurações!$A$5:$A$100,0)),"Margem"))</f>
        <v/>
      </c>
      <c r="G685" s="78">
        <f>IF($A685="","",IFERROR(INDEX(Configurações!$B$5:$B$100,MATCH($C685,Configurações!$A$5:$A$100,0)),0))</f>
        <v/>
      </c>
      <c r="H685" s="78">
        <f>IF(OR($A685="",'Importar Reservas'!M677&lt;&gt;"Aprovado",$D685&lt;=0),"",MAX(0,IF($F685="Margem",$D685-$E685,$D685))*$G685)</f>
        <v/>
      </c>
    </row>
    <row r="686" ht="15" customHeight="1" s="79">
      <c r="A686" s="78">
        <f>IF('Importar Reservas'!A678="","",'Importar Reservas'!A678)</f>
        <v/>
      </c>
      <c r="B686" s="78">
        <f>IF($A686="","",'Importar Reservas'!B678)</f>
        <v/>
      </c>
      <c r="C686" s="78">
        <f>IF($A686="","",'Importar Reservas'!Z678)</f>
        <v/>
      </c>
      <c r="D686" s="78">
        <f>IF($A686="","",IF('Importar Reservas'!O678="",0,'Importar Reservas'!O678))</f>
        <v/>
      </c>
      <c r="E686" s="78">
        <f>IF($A686="","",IF('Importar Reservas'!N678="",0,'Importar Reservas'!N678))</f>
        <v/>
      </c>
      <c r="F686" s="78">
        <f>IF($A686="","",IFERROR(INDEX(Configurações!$C$5:$C$100,MATCH($C686,Configurações!$A$5:$A$100,0)),"Margem"))</f>
        <v/>
      </c>
      <c r="G686" s="78">
        <f>IF($A686="","",IFERROR(INDEX(Configurações!$B$5:$B$100,MATCH($C686,Configurações!$A$5:$A$100,0)),0))</f>
        <v/>
      </c>
      <c r="H686" s="78">
        <f>IF(OR($A686="",'Importar Reservas'!M678&lt;&gt;"Aprovado",$D686&lt;=0),"",MAX(0,IF($F686="Margem",$D686-$E686,$D686))*$G686)</f>
        <v/>
      </c>
    </row>
    <row r="687" ht="15" customHeight="1" s="79">
      <c r="A687" s="78">
        <f>IF('Importar Reservas'!A679="","",'Importar Reservas'!A679)</f>
        <v/>
      </c>
      <c r="B687" s="78">
        <f>IF($A687="","",'Importar Reservas'!B679)</f>
        <v/>
      </c>
      <c r="C687" s="78">
        <f>IF($A687="","",'Importar Reservas'!Z679)</f>
        <v/>
      </c>
      <c r="D687" s="78">
        <f>IF($A687="","",IF('Importar Reservas'!O679="",0,'Importar Reservas'!O679))</f>
        <v/>
      </c>
      <c r="E687" s="78">
        <f>IF($A687="","",IF('Importar Reservas'!N679="",0,'Importar Reservas'!N679))</f>
        <v/>
      </c>
      <c r="F687" s="78">
        <f>IF($A687="","",IFERROR(INDEX(Configurações!$C$5:$C$100,MATCH($C687,Configurações!$A$5:$A$100,0)),"Margem"))</f>
        <v/>
      </c>
      <c r="G687" s="78">
        <f>IF($A687="","",IFERROR(INDEX(Configurações!$B$5:$B$100,MATCH($C687,Configurações!$A$5:$A$100,0)),0))</f>
        <v/>
      </c>
      <c r="H687" s="78">
        <f>IF(OR($A687="",'Importar Reservas'!M679&lt;&gt;"Aprovado",$D687&lt;=0),"",MAX(0,IF($F687="Margem",$D687-$E687,$D687))*$G687)</f>
        <v/>
      </c>
    </row>
    <row r="688" ht="15" customHeight="1" s="79">
      <c r="A688" s="78">
        <f>IF('Importar Reservas'!A680="","",'Importar Reservas'!A680)</f>
        <v/>
      </c>
      <c r="B688" s="78">
        <f>IF($A688="","",'Importar Reservas'!B680)</f>
        <v/>
      </c>
      <c r="C688" s="78">
        <f>IF($A688="","",'Importar Reservas'!Z680)</f>
        <v/>
      </c>
      <c r="D688" s="78">
        <f>IF($A688="","",IF('Importar Reservas'!O680="",0,'Importar Reservas'!O680))</f>
        <v/>
      </c>
      <c r="E688" s="78">
        <f>IF($A688="","",IF('Importar Reservas'!N680="",0,'Importar Reservas'!N680))</f>
        <v/>
      </c>
      <c r="F688" s="78">
        <f>IF($A688="","",IFERROR(INDEX(Configurações!$C$5:$C$100,MATCH($C688,Configurações!$A$5:$A$100,0)),"Margem"))</f>
        <v/>
      </c>
      <c r="G688" s="78">
        <f>IF($A688="","",IFERROR(INDEX(Configurações!$B$5:$B$100,MATCH($C688,Configurações!$A$5:$A$100,0)),0))</f>
        <v/>
      </c>
      <c r="H688" s="78">
        <f>IF(OR($A688="",'Importar Reservas'!M680&lt;&gt;"Aprovado",$D688&lt;=0),"",MAX(0,IF($F688="Margem",$D688-$E688,$D688))*$G688)</f>
        <v/>
      </c>
    </row>
    <row r="689" ht="15" customHeight="1" s="79">
      <c r="A689" s="78">
        <f>IF('Importar Reservas'!A681="","",'Importar Reservas'!A681)</f>
        <v/>
      </c>
      <c r="B689" s="78">
        <f>IF($A689="","",'Importar Reservas'!B681)</f>
        <v/>
      </c>
      <c r="C689" s="78">
        <f>IF($A689="","",'Importar Reservas'!Z681)</f>
        <v/>
      </c>
      <c r="D689" s="78">
        <f>IF($A689="","",IF('Importar Reservas'!O681="",0,'Importar Reservas'!O681))</f>
        <v/>
      </c>
      <c r="E689" s="78">
        <f>IF($A689="","",IF('Importar Reservas'!N681="",0,'Importar Reservas'!N681))</f>
        <v/>
      </c>
      <c r="F689" s="78">
        <f>IF($A689="","",IFERROR(INDEX(Configurações!$C$5:$C$100,MATCH($C689,Configurações!$A$5:$A$100,0)),"Margem"))</f>
        <v/>
      </c>
      <c r="G689" s="78">
        <f>IF($A689="","",IFERROR(INDEX(Configurações!$B$5:$B$100,MATCH($C689,Configurações!$A$5:$A$100,0)),0))</f>
        <v/>
      </c>
      <c r="H689" s="78">
        <f>IF(OR($A689="",'Importar Reservas'!M681&lt;&gt;"Aprovado",$D689&lt;=0),"",MAX(0,IF($F689="Margem",$D689-$E689,$D689))*$G689)</f>
        <v/>
      </c>
    </row>
    <row r="690" ht="15" customHeight="1" s="79">
      <c r="A690" s="78">
        <f>IF('Importar Reservas'!A682="","",'Importar Reservas'!A682)</f>
        <v/>
      </c>
      <c r="B690" s="78">
        <f>IF($A690="","",'Importar Reservas'!B682)</f>
        <v/>
      </c>
      <c r="C690" s="78">
        <f>IF($A690="","",'Importar Reservas'!Z682)</f>
        <v/>
      </c>
      <c r="D690" s="78">
        <f>IF($A690="","",IF('Importar Reservas'!O682="",0,'Importar Reservas'!O682))</f>
        <v/>
      </c>
      <c r="E690" s="78">
        <f>IF($A690="","",IF('Importar Reservas'!N682="",0,'Importar Reservas'!N682))</f>
        <v/>
      </c>
      <c r="F690" s="78">
        <f>IF($A690="","",IFERROR(INDEX(Configurações!$C$5:$C$100,MATCH($C690,Configurações!$A$5:$A$100,0)),"Margem"))</f>
        <v/>
      </c>
      <c r="G690" s="78">
        <f>IF($A690="","",IFERROR(INDEX(Configurações!$B$5:$B$100,MATCH($C690,Configurações!$A$5:$A$100,0)),0))</f>
        <v/>
      </c>
      <c r="H690" s="78">
        <f>IF(OR($A690="",'Importar Reservas'!M682&lt;&gt;"Aprovado",$D690&lt;=0),"",MAX(0,IF($F690="Margem",$D690-$E690,$D690))*$G690)</f>
        <v/>
      </c>
    </row>
    <row r="691" ht="15" customHeight="1" s="79">
      <c r="A691" s="78">
        <f>IF('Importar Reservas'!A683="","",'Importar Reservas'!A683)</f>
        <v/>
      </c>
      <c r="B691" s="78">
        <f>IF($A691="","",'Importar Reservas'!B683)</f>
        <v/>
      </c>
      <c r="C691" s="78">
        <f>IF($A691="","",'Importar Reservas'!Z683)</f>
        <v/>
      </c>
      <c r="D691" s="78">
        <f>IF($A691="","",IF('Importar Reservas'!O683="",0,'Importar Reservas'!O683))</f>
        <v/>
      </c>
      <c r="E691" s="78">
        <f>IF($A691="","",IF('Importar Reservas'!N683="",0,'Importar Reservas'!N683))</f>
        <v/>
      </c>
      <c r="F691" s="78">
        <f>IF($A691="","",IFERROR(INDEX(Configurações!$C$5:$C$100,MATCH($C691,Configurações!$A$5:$A$100,0)),"Margem"))</f>
        <v/>
      </c>
      <c r="G691" s="78">
        <f>IF($A691="","",IFERROR(INDEX(Configurações!$B$5:$B$100,MATCH($C691,Configurações!$A$5:$A$100,0)),0))</f>
        <v/>
      </c>
      <c r="H691" s="78">
        <f>IF(OR($A691="",'Importar Reservas'!M683&lt;&gt;"Aprovado",$D691&lt;=0),"",MAX(0,IF($F691="Margem",$D691-$E691,$D691))*$G691)</f>
        <v/>
      </c>
    </row>
    <row r="692" ht="15" customHeight="1" s="79">
      <c r="A692" s="78">
        <f>IF('Importar Reservas'!A684="","",'Importar Reservas'!A684)</f>
        <v/>
      </c>
      <c r="B692" s="78">
        <f>IF($A692="","",'Importar Reservas'!B684)</f>
        <v/>
      </c>
      <c r="C692" s="78">
        <f>IF($A692="","",'Importar Reservas'!Z684)</f>
        <v/>
      </c>
      <c r="D692" s="78">
        <f>IF($A692="","",IF('Importar Reservas'!O684="",0,'Importar Reservas'!O684))</f>
        <v/>
      </c>
      <c r="E692" s="78">
        <f>IF($A692="","",IF('Importar Reservas'!N684="",0,'Importar Reservas'!N684))</f>
        <v/>
      </c>
      <c r="F692" s="78">
        <f>IF($A692="","",IFERROR(INDEX(Configurações!$C$5:$C$100,MATCH($C692,Configurações!$A$5:$A$100,0)),"Margem"))</f>
        <v/>
      </c>
      <c r="G692" s="78">
        <f>IF($A692="","",IFERROR(INDEX(Configurações!$B$5:$B$100,MATCH($C692,Configurações!$A$5:$A$100,0)),0))</f>
        <v/>
      </c>
      <c r="H692" s="78">
        <f>IF(OR($A692="",'Importar Reservas'!M684&lt;&gt;"Aprovado",$D692&lt;=0),"",MAX(0,IF($F692="Margem",$D692-$E692,$D692))*$G692)</f>
        <v/>
      </c>
    </row>
    <row r="693" ht="15" customHeight="1" s="79">
      <c r="A693" s="78">
        <f>IF('Importar Reservas'!A685="","",'Importar Reservas'!A685)</f>
        <v/>
      </c>
      <c r="B693" s="78">
        <f>IF($A693="","",'Importar Reservas'!B685)</f>
        <v/>
      </c>
      <c r="C693" s="78">
        <f>IF($A693="","",'Importar Reservas'!Z685)</f>
        <v/>
      </c>
      <c r="D693" s="78">
        <f>IF($A693="","",IF('Importar Reservas'!O685="",0,'Importar Reservas'!O685))</f>
        <v/>
      </c>
      <c r="E693" s="78">
        <f>IF($A693="","",IF('Importar Reservas'!N685="",0,'Importar Reservas'!N685))</f>
        <v/>
      </c>
      <c r="F693" s="78">
        <f>IF($A693="","",IFERROR(INDEX(Configurações!$C$5:$C$100,MATCH($C693,Configurações!$A$5:$A$100,0)),"Margem"))</f>
        <v/>
      </c>
      <c r="G693" s="78">
        <f>IF($A693="","",IFERROR(INDEX(Configurações!$B$5:$B$100,MATCH($C693,Configurações!$A$5:$A$100,0)),0))</f>
        <v/>
      </c>
      <c r="H693" s="78">
        <f>IF(OR($A693="",'Importar Reservas'!M685&lt;&gt;"Aprovado",$D693&lt;=0),"",MAX(0,IF($F693="Margem",$D693-$E693,$D693))*$G693)</f>
        <v/>
      </c>
    </row>
    <row r="694" ht="15" customHeight="1" s="79">
      <c r="A694" s="78">
        <f>IF('Importar Reservas'!A686="","",'Importar Reservas'!A686)</f>
        <v/>
      </c>
      <c r="B694" s="78">
        <f>IF($A694="","",'Importar Reservas'!B686)</f>
        <v/>
      </c>
      <c r="C694" s="78">
        <f>IF($A694="","",'Importar Reservas'!Z686)</f>
        <v/>
      </c>
      <c r="D694" s="78">
        <f>IF($A694="","",IF('Importar Reservas'!O686="",0,'Importar Reservas'!O686))</f>
        <v/>
      </c>
      <c r="E694" s="78">
        <f>IF($A694="","",IF('Importar Reservas'!N686="",0,'Importar Reservas'!N686))</f>
        <v/>
      </c>
      <c r="F694" s="78">
        <f>IF($A694="","",IFERROR(INDEX(Configurações!$C$5:$C$100,MATCH($C694,Configurações!$A$5:$A$100,0)),"Margem"))</f>
        <v/>
      </c>
      <c r="G694" s="78">
        <f>IF($A694="","",IFERROR(INDEX(Configurações!$B$5:$B$100,MATCH($C694,Configurações!$A$5:$A$100,0)),0))</f>
        <v/>
      </c>
      <c r="H694" s="78">
        <f>IF(OR($A694="",'Importar Reservas'!M686&lt;&gt;"Aprovado",$D694&lt;=0),"",MAX(0,IF($F694="Margem",$D694-$E694,$D694))*$G694)</f>
        <v/>
      </c>
    </row>
    <row r="695" ht="15" customHeight="1" s="79">
      <c r="A695" s="78">
        <f>IF('Importar Reservas'!A687="","",'Importar Reservas'!A687)</f>
        <v/>
      </c>
      <c r="B695" s="78">
        <f>IF($A695="","",'Importar Reservas'!B687)</f>
        <v/>
      </c>
      <c r="C695" s="78">
        <f>IF($A695="","",'Importar Reservas'!Z687)</f>
        <v/>
      </c>
      <c r="D695" s="78">
        <f>IF($A695="","",IF('Importar Reservas'!O687="",0,'Importar Reservas'!O687))</f>
        <v/>
      </c>
      <c r="E695" s="78">
        <f>IF($A695="","",IF('Importar Reservas'!N687="",0,'Importar Reservas'!N687))</f>
        <v/>
      </c>
      <c r="F695" s="78">
        <f>IF($A695="","",IFERROR(INDEX(Configurações!$C$5:$C$100,MATCH($C695,Configurações!$A$5:$A$100,0)),"Margem"))</f>
        <v/>
      </c>
      <c r="G695" s="78">
        <f>IF($A695="","",IFERROR(INDEX(Configurações!$B$5:$B$100,MATCH($C695,Configurações!$A$5:$A$100,0)),0))</f>
        <v/>
      </c>
      <c r="H695" s="78">
        <f>IF(OR($A695="",'Importar Reservas'!M687&lt;&gt;"Aprovado",$D695&lt;=0),"",MAX(0,IF($F695="Margem",$D695-$E695,$D695))*$G695)</f>
        <v/>
      </c>
    </row>
    <row r="696" ht="15" customHeight="1" s="79">
      <c r="A696" s="78">
        <f>IF('Importar Reservas'!A688="","",'Importar Reservas'!A688)</f>
        <v/>
      </c>
      <c r="B696" s="78">
        <f>IF($A696="","",'Importar Reservas'!B688)</f>
        <v/>
      </c>
      <c r="C696" s="78">
        <f>IF($A696="","",'Importar Reservas'!Z688)</f>
        <v/>
      </c>
      <c r="D696" s="78">
        <f>IF($A696="","",IF('Importar Reservas'!O688="",0,'Importar Reservas'!O688))</f>
        <v/>
      </c>
      <c r="E696" s="78">
        <f>IF($A696="","",IF('Importar Reservas'!N688="",0,'Importar Reservas'!N688))</f>
        <v/>
      </c>
      <c r="F696" s="78">
        <f>IF($A696="","",IFERROR(INDEX(Configurações!$C$5:$C$100,MATCH($C696,Configurações!$A$5:$A$100,0)),"Margem"))</f>
        <v/>
      </c>
      <c r="G696" s="78">
        <f>IF($A696="","",IFERROR(INDEX(Configurações!$B$5:$B$100,MATCH($C696,Configurações!$A$5:$A$100,0)),0))</f>
        <v/>
      </c>
      <c r="H696" s="78">
        <f>IF(OR($A696="",'Importar Reservas'!M688&lt;&gt;"Aprovado",$D696&lt;=0),"",MAX(0,IF($F696="Margem",$D696-$E696,$D696))*$G696)</f>
        <v/>
      </c>
    </row>
    <row r="697" ht="15" customHeight="1" s="79">
      <c r="A697" s="78">
        <f>IF('Importar Reservas'!A689="","",'Importar Reservas'!A689)</f>
        <v/>
      </c>
      <c r="B697" s="78">
        <f>IF($A697="","",'Importar Reservas'!B689)</f>
        <v/>
      </c>
      <c r="C697" s="78">
        <f>IF($A697="","",'Importar Reservas'!Z689)</f>
        <v/>
      </c>
      <c r="D697" s="78">
        <f>IF($A697="","",IF('Importar Reservas'!O689="",0,'Importar Reservas'!O689))</f>
        <v/>
      </c>
      <c r="E697" s="78">
        <f>IF($A697="","",IF('Importar Reservas'!N689="",0,'Importar Reservas'!N689))</f>
        <v/>
      </c>
      <c r="F697" s="78">
        <f>IF($A697="","",IFERROR(INDEX(Configurações!$C$5:$C$100,MATCH($C697,Configurações!$A$5:$A$100,0)),"Margem"))</f>
        <v/>
      </c>
      <c r="G697" s="78">
        <f>IF($A697="","",IFERROR(INDEX(Configurações!$B$5:$B$100,MATCH($C697,Configurações!$A$5:$A$100,0)),0))</f>
        <v/>
      </c>
      <c r="H697" s="78">
        <f>IF(OR($A697="",'Importar Reservas'!M689&lt;&gt;"Aprovado",$D697&lt;=0),"",MAX(0,IF($F697="Margem",$D697-$E697,$D697))*$G697)</f>
        <v/>
      </c>
    </row>
    <row r="698" ht="15" customHeight="1" s="79">
      <c r="A698" s="78">
        <f>IF('Importar Reservas'!A690="","",'Importar Reservas'!A690)</f>
        <v/>
      </c>
      <c r="B698" s="78">
        <f>IF($A698="","",'Importar Reservas'!B690)</f>
        <v/>
      </c>
      <c r="C698" s="78">
        <f>IF($A698="","",'Importar Reservas'!Z690)</f>
        <v/>
      </c>
      <c r="D698" s="78">
        <f>IF($A698="","",IF('Importar Reservas'!O690="",0,'Importar Reservas'!O690))</f>
        <v/>
      </c>
      <c r="E698" s="78">
        <f>IF($A698="","",IF('Importar Reservas'!N690="",0,'Importar Reservas'!N690))</f>
        <v/>
      </c>
      <c r="F698" s="78">
        <f>IF($A698="","",IFERROR(INDEX(Configurações!$C$5:$C$100,MATCH($C698,Configurações!$A$5:$A$100,0)),"Margem"))</f>
        <v/>
      </c>
      <c r="G698" s="78">
        <f>IF($A698="","",IFERROR(INDEX(Configurações!$B$5:$B$100,MATCH($C698,Configurações!$A$5:$A$100,0)),0))</f>
        <v/>
      </c>
      <c r="H698" s="78">
        <f>IF(OR($A698="",'Importar Reservas'!M690&lt;&gt;"Aprovado",$D698&lt;=0),"",MAX(0,IF($F698="Margem",$D698-$E698,$D698))*$G698)</f>
        <v/>
      </c>
    </row>
    <row r="699" ht="15" customHeight="1" s="79">
      <c r="A699" s="78">
        <f>IF('Importar Reservas'!A691="","",'Importar Reservas'!A691)</f>
        <v/>
      </c>
      <c r="B699" s="78">
        <f>IF($A699="","",'Importar Reservas'!B691)</f>
        <v/>
      </c>
      <c r="C699" s="78">
        <f>IF($A699="","",'Importar Reservas'!Z691)</f>
        <v/>
      </c>
      <c r="D699" s="78">
        <f>IF($A699="","",IF('Importar Reservas'!O691="",0,'Importar Reservas'!O691))</f>
        <v/>
      </c>
      <c r="E699" s="78">
        <f>IF($A699="","",IF('Importar Reservas'!N691="",0,'Importar Reservas'!N691))</f>
        <v/>
      </c>
      <c r="F699" s="78">
        <f>IF($A699="","",IFERROR(INDEX(Configurações!$C$5:$C$100,MATCH($C699,Configurações!$A$5:$A$100,0)),"Margem"))</f>
        <v/>
      </c>
      <c r="G699" s="78">
        <f>IF($A699="","",IFERROR(INDEX(Configurações!$B$5:$B$100,MATCH($C699,Configurações!$A$5:$A$100,0)),0))</f>
        <v/>
      </c>
      <c r="H699" s="78">
        <f>IF(OR($A699="",'Importar Reservas'!M691&lt;&gt;"Aprovado",$D699&lt;=0),"",MAX(0,IF($F699="Margem",$D699-$E699,$D699))*$G699)</f>
        <v/>
      </c>
    </row>
    <row r="700" ht="15" customHeight="1" s="79">
      <c r="A700" s="78">
        <f>IF('Importar Reservas'!A692="","",'Importar Reservas'!A692)</f>
        <v/>
      </c>
      <c r="B700" s="78">
        <f>IF($A700="","",'Importar Reservas'!B692)</f>
        <v/>
      </c>
      <c r="C700" s="78">
        <f>IF($A700="","",'Importar Reservas'!Z692)</f>
        <v/>
      </c>
      <c r="D700" s="78">
        <f>IF($A700="","",IF('Importar Reservas'!O692="",0,'Importar Reservas'!O692))</f>
        <v/>
      </c>
      <c r="E700" s="78">
        <f>IF($A700="","",IF('Importar Reservas'!N692="",0,'Importar Reservas'!N692))</f>
        <v/>
      </c>
      <c r="F700" s="78">
        <f>IF($A700="","",IFERROR(INDEX(Configurações!$C$5:$C$100,MATCH($C700,Configurações!$A$5:$A$100,0)),"Margem"))</f>
        <v/>
      </c>
      <c r="G700" s="78">
        <f>IF($A700="","",IFERROR(INDEX(Configurações!$B$5:$B$100,MATCH($C700,Configurações!$A$5:$A$100,0)),0))</f>
        <v/>
      </c>
      <c r="H700" s="78">
        <f>IF(OR($A700="",'Importar Reservas'!M692&lt;&gt;"Aprovado",$D700&lt;=0),"",MAX(0,IF($F700="Margem",$D700-$E700,$D700))*$G700)</f>
        <v/>
      </c>
    </row>
    <row r="701" ht="15" customHeight="1" s="79">
      <c r="A701" s="78">
        <f>IF('Importar Reservas'!A693="","",'Importar Reservas'!A693)</f>
        <v/>
      </c>
      <c r="B701" s="78">
        <f>IF($A701="","",'Importar Reservas'!B693)</f>
        <v/>
      </c>
      <c r="C701" s="78">
        <f>IF($A701="","",'Importar Reservas'!Z693)</f>
        <v/>
      </c>
      <c r="D701" s="78">
        <f>IF($A701="","",IF('Importar Reservas'!O693="",0,'Importar Reservas'!O693))</f>
        <v/>
      </c>
      <c r="E701" s="78">
        <f>IF($A701="","",IF('Importar Reservas'!N693="",0,'Importar Reservas'!N693))</f>
        <v/>
      </c>
      <c r="F701" s="78">
        <f>IF($A701="","",IFERROR(INDEX(Configurações!$C$5:$C$100,MATCH($C701,Configurações!$A$5:$A$100,0)),"Margem"))</f>
        <v/>
      </c>
      <c r="G701" s="78">
        <f>IF($A701="","",IFERROR(INDEX(Configurações!$B$5:$B$100,MATCH($C701,Configurações!$A$5:$A$100,0)),0))</f>
        <v/>
      </c>
      <c r="H701" s="78">
        <f>IF(OR($A701="",'Importar Reservas'!M693&lt;&gt;"Aprovado",$D701&lt;=0),"",MAX(0,IF($F701="Margem",$D701-$E701,$D701))*$G701)</f>
        <v/>
      </c>
    </row>
    <row r="702" ht="15" customHeight="1" s="79">
      <c r="A702" s="78">
        <f>IF('Importar Reservas'!A694="","",'Importar Reservas'!A694)</f>
        <v/>
      </c>
      <c r="B702" s="78">
        <f>IF($A702="","",'Importar Reservas'!B694)</f>
        <v/>
      </c>
      <c r="C702" s="78">
        <f>IF($A702="","",'Importar Reservas'!Z694)</f>
        <v/>
      </c>
      <c r="D702" s="78">
        <f>IF($A702="","",IF('Importar Reservas'!O694="",0,'Importar Reservas'!O694))</f>
        <v/>
      </c>
      <c r="E702" s="78">
        <f>IF($A702="","",IF('Importar Reservas'!N694="",0,'Importar Reservas'!N694))</f>
        <v/>
      </c>
      <c r="F702" s="78">
        <f>IF($A702="","",IFERROR(INDEX(Configurações!$C$5:$C$100,MATCH($C702,Configurações!$A$5:$A$100,0)),"Margem"))</f>
        <v/>
      </c>
      <c r="G702" s="78">
        <f>IF($A702="","",IFERROR(INDEX(Configurações!$B$5:$B$100,MATCH($C702,Configurações!$A$5:$A$100,0)),0))</f>
        <v/>
      </c>
      <c r="H702" s="78">
        <f>IF(OR($A702="",'Importar Reservas'!M694&lt;&gt;"Aprovado",$D702&lt;=0),"",MAX(0,IF($F702="Margem",$D702-$E702,$D702))*$G702)</f>
        <v/>
      </c>
    </row>
    <row r="703" ht="15" customHeight="1" s="79">
      <c r="A703" s="78">
        <f>IF('Importar Reservas'!A695="","",'Importar Reservas'!A695)</f>
        <v/>
      </c>
      <c r="B703" s="78">
        <f>IF($A703="","",'Importar Reservas'!B695)</f>
        <v/>
      </c>
      <c r="C703" s="78">
        <f>IF($A703="","",'Importar Reservas'!Z695)</f>
        <v/>
      </c>
      <c r="D703" s="78">
        <f>IF($A703="","",IF('Importar Reservas'!O695="",0,'Importar Reservas'!O695))</f>
        <v/>
      </c>
      <c r="E703" s="78">
        <f>IF($A703="","",IF('Importar Reservas'!N695="",0,'Importar Reservas'!N695))</f>
        <v/>
      </c>
      <c r="F703" s="78">
        <f>IF($A703="","",IFERROR(INDEX(Configurações!$C$5:$C$100,MATCH($C703,Configurações!$A$5:$A$100,0)),"Margem"))</f>
        <v/>
      </c>
      <c r="G703" s="78">
        <f>IF($A703="","",IFERROR(INDEX(Configurações!$B$5:$B$100,MATCH($C703,Configurações!$A$5:$A$100,0)),0))</f>
        <v/>
      </c>
      <c r="H703" s="78">
        <f>IF(OR($A703="",'Importar Reservas'!M695&lt;&gt;"Aprovado",$D703&lt;=0),"",MAX(0,IF($F703="Margem",$D703-$E703,$D703))*$G703)</f>
        <v/>
      </c>
    </row>
    <row r="704" ht="15" customHeight="1" s="79">
      <c r="A704" s="78">
        <f>IF('Importar Reservas'!A696="","",'Importar Reservas'!A696)</f>
        <v/>
      </c>
      <c r="B704" s="78">
        <f>IF($A704="","",'Importar Reservas'!B696)</f>
        <v/>
      </c>
      <c r="C704" s="78">
        <f>IF($A704="","",'Importar Reservas'!Z696)</f>
        <v/>
      </c>
      <c r="D704" s="78">
        <f>IF($A704="","",IF('Importar Reservas'!O696="",0,'Importar Reservas'!O696))</f>
        <v/>
      </c>
      <c r="E704" s="78">
        <f>IF($A704="","",IF('Importar Reservas'!N696="",0,'Importar Reservas'!N696))</f>
        <v/>
      </c>
      <c r="F704" s="78">
        <f>IF($A704="","",IFERROR(INDEX(Configurações!$C$5:$C$100,MATCH($C704,Configurações!$A$5:$A$100,0)),"Margem"))</f>
        <v/>
      </c>
      <c r="G704" s="78">
        <f>IF($A704="","",IFERROR(INDEX(Configurações!$B$5:$B$100,MATCH($C704,Configurações!$A$5:$A$100,0)),0))</f>
        <v/>
      </c>
      <c r="H704" s="78">
        <f>IF(OR($A704="",'Importar Reservas'!M696&lt;&gt;"Aprovado",$D704&lt;=0),"",MAX(0,IF($F704="Margem",$D704-$E704,$D704))*$G704)</f>
        <v/>
      </c>
    </row>
    <row r="705" ht="15" customHeight="1" s="79">
      <c r="A705" s="78">
        <f>IF('Importar Reservas'!A697="","",'Importar Reservas'!A697)</f>
        <v/>
      </c>
      <c r="B705" s="78">
        <f>IF($A705="","",'Importar Reservas'!B697)</f>
        <v/>
      </c>
      <c r="C705" s="78">
        <f>IF($A705="","",'Importar Reservas'!Z697)</f>
        <v/>
      </c>
      <c r="D705" s="78">
        <f>IF($A705="","",IF('Importar Reservas'!O697="",0,'Importar Reservas'!O697))</f>
        <v/>
      </c>
      <c r="E705" s="78">
        <f>IF($A705="","",IF('Importar Reservas'!N697="",0,'Importar Reservas'!N697))</f>
        <v/>
      </c>
      <c r="F705" s="78">
        <f>IF($A705="","",IFERROR(INDEX(Configurações!$C$5:$C$100,MATCH($C705,Configurações!$A$5:$A$100,0)),"Margem"))</f>
        <v/>
      </c>
      <c r="G705" s="78">
        <f>IF($A705="","",IFERROR(INDEX(Configurações!$B$5:$B$100,MATCH($C705,Configurações!$A$5:$A$100,0)),0))</f>
        <v/>
      </c>
      <c r="H705" s="78">
        <f>IF(OR($A705="",'Importar Reservas'!M697&lt;&gt;"Aprovado",$D705&lt;=0),"",MAX(0,IF($F705="Margem",$D705-$E705,$D705))*$G705)</f>
        <v/>
      </c>
    </row>
    <row r="706" ht="15" customHeight="1" s="79">
      <c r="A706" s="78">
        <f>IF('Importar Reservas'!A698="","",'Importar Reservas'!A698)</f>
        <v/>
      </c>
      <c r="B706" s="78">
        <f>IF($A706="","",'Importar Reservas'!B698)</f>
        <v/>
      </c>
      <c r="C706" s="78">
        <f>IF($A706="","",'Importar Reservas'!Z698)</f>
        <v/>
      </c>
      <c r="D706" s="78">
        <f>IF($A706="","",IF('Importar Reservas'!O698="",0,'Importar Reservas'!O698))</f>
        <v/>
      </c>
      <c r="E706" s="78">
        <f>IF($A706="","",IF('Importar Reservas'!N698="",0,'Importar Reservas'!N698))</f>
        <v/>
      </c>
      <c r="F706" s="78">
        <f>IF($A706="","",IFERROR(INDEX(Configurações!$C$5:$C$100,MATCH($C706,Configurações!$A$5:$A$100,0)),"Margem"))</f>
        <v/>
      </c>
      <c r="G706" s="78">
        <f>IF($A706="","",IFERROR(INDEX(Configurações!$B$5:$B$100,MATCH($C706,Configurações!$A$5:$A$100,0)),0))</f>
        <v/>
      </c>
      <c r="H706" s="78">
        <f>IF(OR($A706="",'Importar Reservas'!M698&lt;&gt;"Aprovado",$D706&lt;=0),"",MAX(0,IF($F706="Margem",$D706-$E706,$D706))*$G706)</f>
        <v/>
      </c>
    </row>
    <row r="707" ht="15" customHeight="1" s="79">
      <c r="A707" s="78">
        <f>IF('Importar Reservas'!A699="","",'Importar Reservas'!A699)</f>
        <v/>
      </c>
      <c r="B707" s="78">
        <f>IF($A707="","",'Importar Reservas'!B699)</f>
        <v/>
      </c>
      <c r="C707" s="78">
        <f>IF($A707="","",'Importar Reservas'!Z699)</f>
        <v/>
      </c>
      <c r="D707" s="78">
        <f>IF($A707="","",IF('Importar Reservas'!O699="",0,'Importar Reservas'!O699))</f>
        <v/>
      </c>
      <c r="E707" s="78">
        <f>IF($A707="","",IF('Importar Reservas'!N699="",0,'Importar Reservas'!N699))</f>
        <v/>
      </c>
      <c r="F707" s="78">
        <f>IF($A707="","",IFERROR(INDEX(Configurações!$C$5:$C$100,MATCH($C707,Configurações!$A$5:$A$100,0)),"Margem"))</f>
        <v/>
      </c>
      <c r="G707" s="78">
        <f>IF($A707="","",IFERROR(INDEX(Configurações!$B$5:$B$100,MATCH($C707,Configurações!$A$5:$A$100,0)),0))</f>
        <v/>
      </c>
      <c r="H707" s="78">
        <f>IF(OR($A707="",'Importar Reservas'!M699&lt;&gt;"Aprovado",$D707&lt;=0),"",MAX(0,IF($F707="Margem",$D707-$E707,$D707))*$G707)</f>
        <v/>
      </c>
    </row>
    <row r="708" ht="15" customHeight="1" s="79">
      <c r="A708" s="78">
        <f>IF('Importar Reservas'!A700="","",'Importar Reservas'!A700)</f>
        <v/>
      </c>
      <c r="B708" s="78">
        <f>IF($A708="","",'Importar Reservas'!B700)</f>
        <v/>
      </c>
      <c r="C708" s="78">
        <f>IF($A708="","",'Importar Reservas'!Z700)</f>
        <v/>
      </c>
      <c r="D708" s="78">
        <f>IF($A708="","",IF('Importar Reservas'!O700="",0,'Importar Reservas'!O700))</f>
        <v/>
      </c>
      <c r="E708" s="78">
        <f>IF($A708="","",IF('Importar Reservas'!N700="",0,'Importar Reservas'!N700))</f>
        <v/>
      </c>
      <c r="F708" s="78">
        <f>IF($A708="","",IFERROR(INDEX(Configurações!$C$5:$C$100,MATCH($C708,Configurações!$A$5:$A$100,0)),"Margem"))</f>
        <v/>
      </c>
      <c r="G708" s="78">
        <f>IF($A708="","",IFERROR(INDEX(Configurações!$B$5:$B$100,MATCH($C708,Configurações!$A$5:$A$100,0)),0))</f>
        <v/>
      </c>
      <c r="H708" s="78">
        <f>IF(OR($A708="",'Importar Reservas'!M700&lt;&gt;"Aprovado",$D708&lt;=0),"",MAX(0,IF($F708="Margem",$D708-$E708,$D708))*$G708)</f>
        <v/>
      </c>
    </row>
    <row r="709" ht="15" customHeight="1" s="79">
      <c r="A709" s="78">
        <f>IF('Importar Reservas'!A701="","",'Importar Reservas'!A701)</f>
        <v/>
      </c>
      <c r="B709" s="78">
        <f>IF($A709="","",'Importar Reservas'!B701)</f>
        <v/>
      </c>
      <c r="C709" s="78">
        <f>IF($A709="","",'Importar Reservas'!Z701)</f>
        <v/>
      </c>
      <c r="D709" s="78">
        <f>IF($A709="","",IF('Importar Reservas'!O701="",0,'Importar Reservas'!O701))</f>
        <v/>
      </c>
      <c r="E709" s="78">
        <f>IF($A709="","",IF('Importar Reservas'!N701="",0,'Importar Reservas'!N701))</f>
        <v/>
      </c>
      <c r="F709" s="78">
        <f>IF($A709="","",IFERROR(INDEX(Configurações!$C$5:$C$100,MATCH($C709,Configurações!$A$5:$A$100,0)),"Margem"))</f>
        <v/>
      </c>
      <c r="G709" s="78">
        <f>IF($A709="","",IFERROR(INDEX(Configurações!$B$5:$B$100,MATCH($C709,Configurações!$A$5:$A$100,0)),0))</f>
        <v/>
      </c>
      <c r="H709" s="78">
        <f>IF(OR($A709="",'Importar Reservas'!M701&lt;&gt;"Aprovado",$D709&lt;=0),"",MAX(0,IF($F709="Margem",$D709-$E709,$D709))*$G709)</f>
        <v/>
      </c>
    </row>
    <row r="710" ht="15" customHeight="1" s="79">
      <c r="A710" s="78">
        <f>IF('Importar Reservas'!A702="","",'Importar Reservas'!A702)</f>
        <v/>
      </c>
      <c r="B710" s="78">
        <f>IF($A710="","",'Importar Reservas'!B702)</f>
        <v/>
      </c>
      <c r="C710" s="78">
        <f>IF($A710="","",'Importar Reservas'!Z702)</f>
        <v/>
      </c>
      <c r="D710" s="78">
        <f>IF($A710="","",IF('Importar Reservas'!O702="",0,'Importar Reservas'!O702))</f>
        <v/>
      </c>
      <c r="E710" s="78">
        <f>IF($A710="","",IF('Importar Reservas'!N702="",0,'Importar Reservas'!N702))</f>
        <v/>
      </c>
      <c r="F710" s="78">
        <f>IF($A710="","",IFERROR(INDEX(Configurações!$C$5:$C$100,MATCH($C710,Configurações!$A$5:$A$100,0)),"Margem"))</f>
        <v/>
      </c>
      <c r="G710" s="78">
        <f>IF($A710="","",IFERROR(INDEX(Configurações!$B$5:$B$100,MATCH($C710,Configurações!$A$5:$A$100,0)),0))</f>
        <v/>
      </c>
      <c r="H710" s="78">
        <f>IF(OR($A710="",'Importar Reservas'!M702&lt;&gt;"Aprovado",$D710&lt;=0),"",MAX(0,IF($F710="Margem",$D710-$E710,$D710))*$G710)</f>
        <v/>
      </c>
    </row>
    <row r="711" ht="15" customHeight="1" s="79">
      <c r="A711" s="78">
        <f>IF('Importar Reservas'!A703="","",'Importar Reservas'!A703)</f>
        <v/>
      </c>
      <c r="B711" s="78">
        <f>IF($A711="","",'Importar Reservas'!B703)</f>
        <v/>
      </c>
      <c r="C711" s="78">
        <f>IF($A711="","",'Importar Reservas'!Z703)</f>
        <v/>
      </c>
      <c r="D711" s="78">
        <f>IF($A711="","",IF('Importar Reservas'!O703="",0,'Importar Reservas'!O703))</f>
        <v/>
      </c>
      <c r="E711" s="78">
        <f>IF($A711="","",IF('Importar Reservas'!N703="",0,'Importar Reservas'!N703))</f>
        <v/>
      </c>
      <c r="F711" s="78">
        <f>IF($A711="","",IFERROR(INDEX(Configurações!$C$5:$C$100,MATCH($C711,Configurações!$A$5:$A$100,0)),"Margem"))</f>
        <v/>
      </c>
      <c r="G711" s="78">
        <f>IF($A711="","",IFERROR(INDEX(Configurações!$B$5:$B$100,MATCH($C711,Configurações!$A$5:$A$100,0)),0))</f>
        <v/>
      </c>
      <c r="H711" s="78">
        <f>IF(OR($A711="",'Importar Reservas'!M703&lt;&gt;"Aprovado",$D711&lt;=0),"",MAX(0,IF($F711="Margem",$D711-$E711,$D711))*$G711)</f>
        <v/>
      </c>
    </row>
    <row r="712" ht="15" customHeight="1" s="79">
      <c r="A712" s="78">
        <f>IF('Importar Reservas'!A704="","",'Importar Reservas'!A704)</f>
        <v/>
      </c>
      <c r="B712" s="78">
        <f>IF($A712="","",'Importar Reservas'!B704)</f>
        <v/>
      </c>
      <c r="C712" s="78">
        <f>IF($A712="","",'Importar Reservas'!Z704)</f>
        <v/>
      </c>
      <c r="D712" s="78">
        <f>IF($A712="","",IF('Importar Reservas'!O704="",0,'Importar Reservas'!O704))</f>
        <v/>
      </c>
      <c r="E712" s="78">
        <f>IF($A712="","",IF('Importar Reservas'!N704="",0,'Importar Reservas'!N704))</f>
        <v/>
      </c>
      <c r="F712" s="78">
        <f>IF($A712="","",IFERROR(INDEX(Configurações!$C$5:$C$100,MATCH($C712,Configurações!$A$5:$A$100,0)),"Margem"))</f>
        <v/>
      </c>
      <c r="G712" s="78">
        <f>IF($A712="","",IFERROR(INDEX(Configurações!$B$5:$B$100,MATCH($C712,Configurações!$A$5:$A$100,0)),0))</f>
        <v/>
      </c>
      <c r="H712" s="78">
        <f>IF(OR($A712="",'Importar Reservas'!M704&lt;&gt;"Aprovado",$D712&lt;=0),"",MAX(0,IF($F712="Margem",$D712-$E712,$D712))*$G712)</f>
        <v/>
      </c>
    </row>
    <row r="713" ht="15" customHeight="1" s="79">
      <c r="A713" s="78">
        <f>IF('Importar Reservas'!A705="","",'Importar Reservas'!A705)</f>
        <v/>
      </c>
      <c r="B713" s="78">
        <f>IF($A713="","",'Importar Reservas'!B705)</f>
        <v/>
      </c>
      <c r="C713" s="78">
        <f>IF($A713="","",'Importar Reservas'!Z705)</f>
        <v/>
      </c>
      <c r="D713" s="78">
        <f>IF($A713="","",IF('Importar Reservas'!O705="",0,'Importar Reservas'!O705))</f>
        <v/>
      </c>
      <c r="E713" s="78">
        <f>IF($A713="","",IF('Importar Reservas'!N705="",0,'Importar Reservas'!N705))</f>
        <v/>
      </c>
      <c r="F713" s="78">
        <f>IF($A713="","",IFERROR(INDEX(Configurações!$C$5:$C$100,MATCH($C713,Configurações!$A$5:$A$100,0)),"Margem"))</f>
        <v/>
      </c>
      <c r="G713" s="78">
        <f>IF($A713="","",IFERROR(INDEX(Configurações!$B$5:$B$100,MATCH($C713,Configurações!$A$5:$A$100,0)),0))</f>
        <v/>
      </c>
      <c r="H713" s="78">
        <f>IF(OR($A713="",'Importar Reservas'!M705&lt;&gt;"Aprovado",$D713&lt;=0),"",MAX(0,IF($F713="Margem",$D713-$E713,$D713))*$G713)</f>
        <v/>
      </c>
    </row>
    <row r="714" ht="15" customHeight="1" s="79">
      <c r="A714" s="78">
        <f>IF('Importar Reservas'!A706="","",'Importar Reservas'!A706)</f>
        <v/>
      </c>
      <c r="B714" s="78">
        <f>IF($A714="","",'Importar Reservas'!B706)</f>
        <v/>
      </c>
      <c r="C714" s="78">
        <f>IF($A714="","",'Importar Reservas'!Z706)</f>
        <v/>
      </c>
      <c r="D714" s="78">
        <f>IF($A714="","",IF('Importar Reservas'!O706="",0,'Importar Reservas'!O706))</f>
        <v/>
      </c>
      <c r="E714" s="78">
        <f>IF($A714="","",IF('Importar Reservas'!N706="",0,'Importar Reservas'!N706))</f>
        <v/>
      </c>
      <c r="F714" s="78">
        <f>IF($A714="","",IFERROR(INDEX(Configurações!$C$5:$C$100,MATCH($C714,Configurações!$A$5:$A$100,0)),"Margem"))</f>
        <v/>
      </c>
      <c r="G714" s="78">
        <f>IF($A714="","",IFERROR(INDEX(Configurações!$B$5:$B$100,MATCH($C714,Configurações!$A$5:$A$100,0)),0))</f>
        <v/>
      </c>
      <c r="H714" s="78">
        <f>IF(OR($A714="",'Importar Reservas'!M706&lt;&gt;"Aprovado",$D714&lt;=0),"",MAX(0,IF($F714="Margem",$D714-$E714,$D714))*$G714)</f>
        <v/>
      </c>
    </row>
    <row r="715" ht="15" customHeight="1" s="79">
      <c r="A715" s="78">
        <f>IF('Importar Reservas'!A707="","",'Importar Reservas'!A707)</f>
        <v/>
      </c>
      <c r="B715" s="78">
        <f>IF($A715="","",'Importar Reservas'!B707)</f>
        <v/>
      </c>
      <c r="C715" s="78">
        <f>IF($A715="","",'Importar Reservas'!Z707)</f>
        <v/>
      </c>
      <c r="D715" s="78">
        <f>IF($A715="","",IF('Importar Reservas'!O707="",0,'Importar Reservas'!O707))</f>
        <v/>
      </c>
      <c r="E715" s="78">
        <f>IF($A715="","",IF('Importar Reservas'!N707="",0,'Importar Reservas'!N707))</f>
        <v/>
      </c>
      <c r="F715" s="78">
        <f>IF($A715="","",IFERROR(INDEX(Configurações!$C$5:$C$100,MATCH($C715,Configurações!$A$5:$A$100,0)),"Margem"))</f>
        <v/>
      </c>
      <c r="G715" s="78">
        <f>IF($A715="","",IFERROR(INDEX(Configurações!$B$5:$B$100,MATCH($C715,Configurações!$A$5:$A$100,0)),0))</f>
        <v/>
      </c>
      <c r="H715" s="78">
        <f>IF(OR($A715="",'Importar Reservas'!M707&lt;&gt;"Aprovado",$D715&lt;=0),"",MAX(0,IF($F715="Margem",$D715-$E715,$D715))*$G715)</f>
        <v/>
      </c>
    </row>
    <row r="716" ht="15" customHeight="1" s="79">
      <c r="A716" s="78">
        <f>IF('Importar Reservas'!A708="","",'Importar Reservas'!A708)</f>
        <v/>
      </c>
      <c r="B716" s="78">
        <f>IF($A716="","",'Importar Reservas'!B708)</f>
        <v/>
      </c>
      <c r="C716" s="78">
        <f>IF($A716="","",'Importar Reservas'!Z708)</f>
        <v/>
      </c>
      <c r="D716" s="78">
        <f>IF($A716="","",IF('Importar Reservas'!O708="",0,'Importar Reservas'!O708))</f>
        <v/>
      </c>
      <c r="E716" s="78">
        <f>IF($A716="","",IF('Importar Reservas'!N708="",0,'Importar Reservas'!N708))</f>
        <v/>
      </c>
      <c r="F716" s="78">
        <f>IF($A716="","",IFERROR(INDEX(Configurações!$C$5:$C$100,MATCH($C716,Configurações!$A$5:$A$100,0)),"Margem"))</f>
        <v/>
      </c>
      <c r="G716" s="78">
        <f>IF($A716="","",IFERROR(INDEX(Configurações!$B$5:$B$100,MATCH($C716,Configurações!$A$5:$A$100,0)),0))</f>
        <v/>
      </c>
      <c r="H716" s="78">
        <f>IF(OR($A716="",'Importar Reservas'!M708&lt;&gt;"Aprovado",$D716&lt;=0),"",MAX(0,IF($F716="Margem",$D716-$E716,$D716))*$G716)</f>
        <v/>
      </c>
    </row>
    <row r="717" ht="15" customHeight="1" s="79">
      <c r="A717" s="78">
        <f>IF('Importar Reservas'!A709="","",'Importar Reservas'!A709)</f>
        <v/>
      </c>
      <c r="B717" s="78">
        <f>IF($A717="","",'Importar Reservas'!B709)</f>
        <v/>
      </c>
      <c r="C717" s="78">
        <f>IF($A717="","",'Importar Reservas'!Z709)</f>
        <v/>
      </c>
      <c r="D717" s="78">
        <f>IF($A717="","",IF('Importar Reservas'!O709="",0,'Importar Reservas'!O709))</f>
        <v/>
      </c>
      <c r="E717" s="78">
        <f>IF($A717="","",IF('Importar Reservas'!N709="",0,'Importar Reservas'!N709))</f>
        <v/>
      </c>
      <c r="F717" s="78">
        <f>IF($A717="","",IFERROR(INDEX(Configurações!$C$5:$C$100,MATCH($C717,Configurações!$A$5:$A$100,0)),"Margem"))</f>
        <v/>
      </c>
      <c r="G717" s="78">
        <f>IF($A717="","",IFERROR(INDEX(Configurações!$B$5:$B$100,MATCH($C717,Configurações!$A$5:$A$100,0)),0))</f>
        <v/>
      </c>
      <c r="H717" s="78">
        <f>IF(OR($A717="",'Importar Reservas'!M709&lt;&gt;"Aprovado",$D717&lt;=0),"",MAX(0,IF($F717="Margem",$D717-$E717,$D717))*$G717)</f>
        <v/>
      </c>
    </row>
    <row r="718" ht="15" customHeight="1" s="79">
      <c r="A718" s="78">
        <f>IF('Importar Reservas'!A710="","",'Importar Reservas'!A710)</f>
        <v/>
      </c>
      <c r="B718" s="78">
        <f>IF($A718="","",'Importar Reservas'!B710)</f>
        <v/>
      </c>
      <c r="C718" s="78">
        <f>IF($A718="","",'Importar Reservas'!Z710)</f>
        <v/>
      </c>
      <c r="D718" s="78">
        <f>IF($A718="","",IF('Importar Reservas'!O710="",0,'Importar Reservas'!O710))</f>
        <v/>
      </c>
      <c r="E718" s="78">
        <f>IF($A718="","",IF('Importar Reservas'!N710="",0,'Importar Reservas'!N710))</f>
        <v/>
      </c>
      <c r="F718" s="78">
        <f>IF($A718="","",IFERROR(INDEX(Configurações!$C$5:$C$100,MATCH($C718,Configurações!$A$5:$A$100,0)),"Margem"))</f>
        <v/>
      </c>
      <c r="G718" s="78">
        <f>IF($A718="","",IFERROR(INDEX(Configurações!$B$5:$B$100,MATCH($C718,Configurações!$A$5:$A$100,0)),0))</f>
        <v/>
      </c>
      <c r="H718" s="78">
        <f>IF(OR($A718="",'Importar Reservas'!M710&lt;&gt;"Aprovado",$D718&lt;=0),"",MAX(0,IF($F718="Margem",$D718-$E718,$D718))*$G718)</f>
        <v/>
      </c>
    </row>
    <row r="719" ht="15" customHeight="1" s="79">
      <c r="A719" s="78">
        <f>IF('Importar Reservas'!A711="","",'Importar Reservas'!A711)</f>
        <v/>
      </c>
      <c r="B719" s="78">
        <f>IF($A719="","",'Importar Reservas'!B711)</f>
        <v/>
      </c>
      <c r="C719" s="78">
        <f>IF($A719="","",'Importar Reservas'!Z711)</f>
        <v/>
      </c>
      <c r="D719" s="78">
        <f>IF($A719="","",IF('Importar Reservas'!O711="",0,'Importar Reservas'!O711))</f>
        <v/>
      </c>
      <c r="E719" s="78">
        <f>IF($A719="","",IF('Importar Reservas'!N711="",0,'Importar Reservas'!N711))</f>
        <v/>
      </c>
      <c r="F719" s="78">
        <f>IF($A719="","",IFERROR(INDEX(Configurações!$C$5:$C$100,MATCH($C719,Configurações!$A$5:$A$100,0)),"Margem"))</f>
        <v/>
      </c>
      <c r="G719" s="78">
        <f>IF($A719="","",IFERROR(INDEX(Configurações!$B$5:$B$100,MATCH($C719,Configurações!$A$5:$A$100,0)),0))</f>
        <v/>
      </c>
      <c r="H719" s="78">
        <f>IF(OR($A719="",'Importar Reservas'!M711&lt;&gt;"Aprovado",$D719&lt;=0),"",MAX(0,IF($F719="Margem",$D719-$E719,$D719))*$G719)</f>
        <v/>
      </c>
    </row>
    <row r="720" ht="15" customHeight="1" s="79">
      <c r="A720" s="78">
        <f>IF('Importar Reservas'!A712="","",'Importar Reservas'!A712)</f>
        <v/>
      </c>
      <c r="B720" s="78">
        <f>IF($A720="","",'Importar Reservas'!B712)</f>
        <v/>
      </c>
      <c r="C720" s="78">
        <f>IF($A720="","",'Importar Reservas'!Z712)</f>
        <v/>
      </c>
      <c r="D720" s="78">
        <f>IF($A720="","",IF('Importar Reservas'!O712="",0,'Importar Reservas'!O712))</f>
        <v/>
      </c>
      <c r="E720" s="78">
        <f>IF($A720="","",IF('Importar Reservas'!N712="",0,'Importar Reservas'!N712))</f>
        <v/>
      </c>
      <c r="F720" s="78">
        <f>IF($A720="","",IFERROR(INDEX(Configurações!$C$5:$C$100,MATCH($C720,Configurações!$A$5:$A$100,0)),"Margem"))</f>
        <v/>
      </c>
      <c r="G720" s="78">
        <f>IF($A720="","",IFERROR(INDEX(Configurações!$B$5:$B$100,MATCH($C720,Configurações!$A$5:$A$100,0)),0))</f>
        <v/>
      </c>
      <c r="H720" s="78">
        <f>IF(OR($A720="",'Importar Reservas'!M712&lt;&gt;"Aprovado",$D720&lt;=0),"",MAX(0,IF($F720="Margem",$D720-$E720,$D720))*$G720)</f>
        <v/>
      </c>
    </row>
    <row r="721" ht="15" customHeight="1" s="79">
      <c r="A721" s="78">
        <f>IF('Importar Reservas'!A713="","",'Importar Reservas'!A713)</f>
        <v/>
      </c>
      <c r="B721" s="78">
        <f>IF($A721="","",'Importar Reservas'!B713)</f>
        <v/>
      </c>
      <c r="C721" s="78">
        <f>IF($A721="","",'Importar Reservas'!Z713)</f>
        <v/>
      </c>
      <c r="D721" s="78">
        <f>IF($A721="","",IF('Importar Reservas'!O713="",0,'Importar Reservas'!O713))</f>
        <v/>
      </c>
      <c r="E721" s="78">
        <f>IF($A721="","",IF('Importar Reservas'!N713="",0,'Importar Reservas'!N713))</f>
        <v/>
      </c>
      <c r="F721" s="78">
        <f>IF($A721="","",IFERROR(INDEX(Configurações!$C$5:$C$100,MATCH($C721,Configurações!$A$5:$A$100,0)),"Margem"))</f>
        <v/>
      </c>
      <c r="G721" s="78">
        <f>IF($A721="","",IFERROR(INDEX(Configurações!$B$5:$B$100,MATCH($C721,Configurações!$A$5:$A$100,0)),0))</f>
        <v/>
      </c>
      <c r="H721" s="78">
        <f>IF(OR($A721="",'Importar Reservas'!M713&lt;&gt;"Aprovado",$D721&lt;=0),"",MAX(0,IF($F721="Margem",$D721-$E721,$D721))*$G721)</f>
        <v/>
      </c>
    </row>
    <row r="722" ht="15" customHeight="1" s="79">
      <c r="A722" s="78">
        <f>IF('Importar Reservas'!A714="","",'Importar Reservas'!A714)</f>
        <v/>
      </c>
      <c r="B722" s="78">
        <f>IF($A722="","",'Importar Reservas'!B714)</f>
        <v/>
      </c>
      <c r="C722" s="78">
        <f>IF($A722="","",'Importar Reservas'!Z714)</f>
        <v/>
      </c>
      <c r="D722" s="78">
        <f>IF($A722="","",IF('Importar Reservas'!O714="",0,'Importar Reservas'!O714))</f>
        <v/>
      </c>
      <c r="E722" s="78">
        <f>IF($A722="","",IF('Importar Reservas'!N714="",0,'Importar Reservas'!N714))</f>
        <v/>
      </c>
      <c r="F722" s="78">
        <f>IF($A722="","",IFERROR(INDEX(Configurações!$C$5:$C$100,MATCH($C722,Configurações!$A$5:$A$100,0)),"Margem"))</f>
        <v/>
      </c>
      <c r="G722" s="78">
        <f>IF($A722="","",IFERROR(INDEX(Configurações!$B$5:$B$100,MATCH($C722,Configurações!$A$5:$A$100,0)),0))</f>
        <v/>
      </c>
      <c r="H722" s="78">
        <f>IF(OR($A722="",'Importar Reservas'!M714&lt;&gt;"Aprovado",$D722&lt;=0),"",MAX(0,IF($F722="Margem",$D722-$E722,$D722))*$G722)</f>
        <v/>
      </c>
    </row>
    <row r="723" ht="15" customHeight="1" s="79">
      <c r="A723" s="78">
        <f>IF('Importar Reservas'!A715="","",'Importar Reservas'!A715)</f>
        <v/>
      </c>
      <c r="B723" s="78">
        <f>IF($A723="","",'Importar Reservas'!B715)</f>
        <v/>
      </c>
      <c r="C723" s="78">
        <f>IF($A723="","",'Importar Reservas'!Z715)</f>
        <v/>
      </c>
      <c r="D723" s="78">
        <f>IF($A723="","",IF('Importar Reservas'!O715="",0,'Importar Reservas'!O715))</f>
        <v/>
      </c>
      <c r="E723" s="78">
        <f>IF($A723="","",IF('Importar Reservas'!N715="",0,'Importar Reservas'!N715))</f>
        <v/>
      </c>
      <c r="F723" s="78">
        <f>IF($A723="","",IFERROR(INDEX(Configurações!$C$5:$C$100,MATCH($C723,Configurações!$A$5:$A$100,0)),"Margem"))</f>
        <v/>
      </c>
      <c r="G723" s="78">
        <f>IF($A723="","",IFERROR(INDEX(Configurações!$B$5:$B$100,MATCH($C723,Configurações!$A$5:$A$100,0)),0))</f>
        <v/>
      </c>
      <c r="H723" s="78">
        <f>IF(OR($A723="",'Importar Reservas'!M715&lt;&gt;"Aprovado",$D723&lt;=0),"",MAX(0,IF($F723="Margem",$D723-$E723,$D723))*$G723)</f>
        <v/>
      </c>
    </row>
    <row r="724" ht="15" customHeight="1" s="79">
      <c r="A724" s="78">
        <f>IF('Importar Reservas'!A716="","",'Importar Reservas'!A716)</f>
        <v/>
      </c>
      <c r="B724" s="78">
        <f>IF($A724="","",'Importar Reservas'!B716)</f>
        <v/>
      </c>
      <c r="C724" s="78">
        <f>IF($A724="","",'Importar Reservas'!Z716)</f>
        <v/>
      </c>
      <c r="D724" s="78">
        <f>IF($A724="","",IF('Importar Reservas'!O716="",0,'Importar Reservas'!O716))</f>
        <v/>
      </c>
      <c r="E724" s="78">
        <f>IF($A724="","",IF('Importar Reservas'!N716="",0,'Importar Reservas'!N716))</f>
        <v/>
      </c>
      <c r="F724" s="78">
        <f>IF($A724="","",IFERROR(INDEX(Configurações!$C$5:$C$100,MATCH($C724,Configurações!$A$5:$A$100,0)),"Margem"))</f>
        <v/>
      </c>
      <c r="G724" s="78">
        <f>IF($A724="","",IFERROR(INDEX(Configurações!$B$5:$B$100,MATCH($C724,Configurações!$A$5:$A$100,0)),0))</f>
        <v/>
      </c>
      <c r="H724" s="78">
        <f>IF(OR($A724="",'Importar Reservas'!M716&lt;&gt;"Aprovado",$D724&lt;=0),"",MAX(0,IF($F724="Margem",$D724-$E724,$D724))*$G724)</f>
        <v/>
      </c>
    </row>
    <row r="725" ht="15" customHeight="1" s="79">
      <c r="A725" s="78">
        <f>IF('Importar Reservas'!A717="","",'Importar Reservas'!A717)</f>
        <v/>
      </c>
      <c r="B725" s="78">
        <f>IF($A725="","",'Importar Reservas'!B717)</f>
        <v/>
      </c>
      <c r="C725" s="78">
        <f>IF($A725="","",'Importar Reservas'!Z717)</f>
        <v/>
      </c>
      <c r="D725" s="78">
        <f>IF($A725="","",IF('Importar Reservas'!O717="",0,'Importar Reservas'!O717))</f>
        <v/>
      </c>
      <c r="E725" s="78">
        <f>IF($A725="","",IF('Importar Reservas'!N717="",0,'Importar Reservas'!N717))</f>
        <v/>
      </c>
      <c r="F725" s="78">
        <f>IF($A725="","",IFERROR(INDEX(Configurações!$C$5:$C$100,MATCH($C725,Configurações!$A$5:$A$100,0)),"Margem"))</f>
        <v/>
      </c>
      <c r="G725" s="78">
        <f>IF($A725="","",IFERROR(INDEX(Configurações!$B$5:$B$100,MATCH($C725,Configurações!$A$5:$A$100,0)),0))</f>
        <v/>
      </c>
      <c r="H725" s="78">
        <f>IF(OR($A725="",'Importar Reservas'!M717&lt;&gt;"Aprovado",$D725&lt;=0),"",MAX(0,IF($F725="Margem",$D725-$E725,$D725))*$G725)</f>
        <v/>
      </c>
    </row>
    <row r="726" ht="15" customHeight="1" s="79">
      <c r="A726" s="78">
        <f>IF('Importar Reservas'!A718="","",'Importar Reservas'!A718)</f>
        <v/>
      </c>
      <c r="B726" s="78">
        <f>IF($A726="","",'Importar Reservas'!B718)</f>
        <v/>
      </c>
      <c r="C726" s="78">
        <f>IF($A726="","",'Importar Reservas'!Z718)</f>
        <v/>
      </c>
      <c r="D726" s="78">
        <f>IF($A726="","",IF('Importar Reservas'!O718="",0,'Importar Reservas'!O718))</f>
        <v/>
      </c>
      <c r="E726" s="78">
        <f>IF($A726="","",IF('Importar Reservas'!N718="",0,'Importar Reservas'!N718))</f>
        <v/>
      </c>
      <c r="F726" s="78">
        <f>IF($A726="","",IFERROR(INDEX(Configurações!$C$5:$C$100,MATCH($C726,Configurações!$A$5:$A$100,0)),"Margem"))</f>
        <v/>
      </c>
      <c r="G726" s="78">
        <f>IF($A726="","",IFERROR(INDEX(Configurações!$B$5:$B$100,MATCH($C726,Configurações!$A$5:$A$100,0)),0))</f>
        <v/>
      </c>
      <c r="H726" s="78">
        <f>IF(OR($A726="",'Importar Reservas'!M718&lt;&gt;"Aprovado",$D726&lt;=0),"",MAX(0,IF($F726="Margem",$D726-$E726,$D726))*$G726)</f>
        <v/>
      </c>
    </row>
    <row r="727" ht="15" customHeight="1" s="79">
      <c r="A727" s="78">
        <f>IF('Importar Reservas'!A719="","",'Importar Reservas'!A719)</f>
        <v/>
      </c>
      <c r="B727" s="78">
        <f>IF($A727="","",'Importar Reservas'!B719)</f>
        <v/>
      </c>
      <c r="C727" s="78">
        <f>IF($A727="","",'Importar Reservas'!Z719)</f>
        <v/>
      </c>
      <c r="D727" s="78">
        <f>IF($A727="","",IF('Importar Reservas'!O719="",0,'Importar Reservas'!O719))</f>
        <v/>
      </c>
      <c r="E727" s="78">
        <f>IF($A727="","",IF('Importar Reservas'!N719="",0,'Importar Reservas'!N719))</f>
        <v/>
      </c>
      <c r="F727" s="78">
        <f>IF($A727="","",IFERROR(INDEX(Configurações!$C$5:$C$100,MATCH($C727,Configurações!$A$5:$A$100,0)),"Margem"))</f>
        <v/>
      </c>
      <c r="G727" s="78">
        <f>IF($A727="","",IFERROR(INDEX(Configurações!$B$5:$B$100,MATCH($C727,Configurações!$A$5:$A$100,0)),0))</f>
        <v/>
      </c>
      <c r="H727" s="78">
        <f>IF(OR($A727="",'Importar Reservas'!M719&lt;&gt;"Aprovado",$D727&lt;=0),"",MAX(0,IF($F727="Margem",$D727-$E727,$D727))*$G727)</f>
        <v/>
      </c>
    </row>
    <row r="728" ht="15" customHeight="1" s="79">
      <c r="A728" s="78">
        <f>IF('Importar Reservas'!A720="","",'Importar Reservas'!A720)</f>
        <v/>
      </c>
      <c r="B728" s="78">
        <f>IF($A728="","",'Importar Reservas'!B720)</f>
        <v/>
      </c>
      <c r="C728" s="78">
        <f>IF($A728="","",'Importar Reservas'!Z720)</f>
        <v/>
      </c>
      <c r="D728" s="78">
        <f>IF($A728="","",IF('Importar Reservas'!O720="",0,'Importar Reservas'!O720))</f>
        <v/>
      </c>
      <c r="E728" s="78">
        <f>IF($A728="","",IF('Importar Reservas'!N720="",0,'Importar Reservas'!N720))</f>
        <v/>
      </c>
      <c r="F728" s="78">
        <f>IF($A728="","",IFERROR(INDEX(Configurações!$C$5:$C$100,MATCH($C728,Configurações!$A$5:$A$100,0)),"Margem"))</f>
        <v/>
      </c>
      <c r="G728" s="78">
        <f>IF($A728="","",IFERROR(INDEX(Configurações!$B$5:$B$100,MATCH($C728,Configurações!$A$5:$A$100,0)),0))</f>
        <v/>
      </c>
      <c r="H728" s="78">
        <f>IF(OR($A728="",'Importar Reservas'!M720&lt;&gt;"Aprovado",$D728&lt;=0),"",MAX(0,IF($F728="Margem",$D728-$E728,$D728))*$G728)</f>
        <v/>
      </c>
    </row>
    <row r="729" ht="15" customHeight="1" s="79">
      <c r="A729" s="78">
        <f>IF('Importar Reservas'!A721="","",'Importar Reservas'!A721)</f>
        <v/>
      </c>
      <c r="B729" s="78">
        <f>IF($A729="","",'Importar Reservas'!B721)</f>
        <v/>
      </c>
      <c r="C729" s="78">
        <f>IF($A729="","",'Importar Reservas'!Z721)</f>
        <v/>
      </c>
      <c r="D729" s="78">
        <f>IF($A729="","",IF('Importar Reservas'!O721="",0,'Importar Reservas'!O721))</f>
        <v/>
      </c>
      <c r="E729" s="78">
        <f>IF($A729="","",IF('Importar Reservas'!N721="",0,'Importar Reservas'!N721))</f>
        <v/>
      </c>
      <c r="F729" s="78">
        <f>IF($A729="","",IFERROR(INDEX(Configurações!$C$5:$C$100,MATCH($C729,Configurações!$A$5:$A$100,0)),"Margem"))</f>
        <v/>
      </c>
      <c r="G729" s="78">
        <f>IF($A729="","",IFERROR(INDEX(Configurações!$B$5:$B$100,MATCH($C729,Configurações!$A$5:$A$100,0)),0))</f>
        <v/>
      </c>
      <c r="H729" s="78">
        <f>IF(OR($A729="",'Importar Reservas'!M721&lt;&gt;"Aprovado",$D729&lt;=0),"",MAX(0,IF($F729="Margem",$D729-$E729,$D729))*$G729)</f>
        <v/>
      </c>
    </row>
    <row r="730" ht="15" customHeight="1" s="79">
      <c r="A730" s="78">
        <f>IF('Importar Reservas'!A722="","",'Importar Reservas'!A722)</f>
        <v/>
      </c>
      <c r="B730" s="78">
        <f>IF($A730="","",'Importar Reservas'!B722)</f>
        <v/>
      </c>
      <c r="C730" s="78">
        <f>IF($A730="","",'Importar Reservas'!Z722)</f>
        <v/>
      </c>
      <c r="D730" s="78">
        <f>IF($A730="","",IF('Importar Reservas'!O722="",0,'Importar Reservas'!O722))</f>
        <v/>
      </c>
      <c r="E730" s="78">
        <f>IF($A730="","",IF('Importar Reservas'!N722="",0,'Importar Reservas'!N722))</f>
        <v/>
      </c>
      <c r="F730" s="78">
        <f>IF($A730="","",IFERROR(INDEX(Configurações!$C$5:$C$100,MATCH($C730,Configurações!$A$5:$A$100,0)),"Margem"))</f>
        <v/>
      </c>
      <c r="G730" s="78">
        <f>IF($A730="","",IFERROR(INDEX(Configurações!$B$5:$B$100,MATCH($C730,Configurações!$A$5:$A$100,0)),0))</f>
        <v/>
      </c>
      <c r="H730" s="78">
        <f>IF(OR($A730="",'Importar Reservas'!M722&lt;&gt;"Aprovado",$D730&lt;=0),"",MAX(0,IF($F730="Margem",$D730-$E730,$D730))*$G730)</f>
        <v/>
      </c>
    </row>
    <row r="731" ht="15" customHeight="1" s="79">
      <c r="A731" s="78">
        <f>IF('Importar Reservas'!A723="","",'Importar Reservas'!A723)</f>
        <v/>
      </c>
      <c r="B731" s="78">
        <f>IF($A731="","",'Importar Reservas'!B723)</f>
        <v/>
      </c>
      <c r="C731" s="78">
        <f>IF($A731="","",'Importar Reservas'!Z723)</f>
        <v/>
      </c>
      <c r="D731" s="78">
        <f>IF($A731="","",IF('Importar Reservas'!O723="",0,'Importar Reservas'!O723))</f>
        <v/>
      </c>
      <c r="E731" s="78">
        <f>IF($A731="","",IF('Importar Reservas'!N723="",0,'Importar Reservas'!N723))</f>
        <v/>
      </c>
      <c r="F731" s="78">
        <f>IF($A731="","",IFERROR(INDEX(Configurações!$C$5:$C$100,MATCH($C731,Configurações!$A$5:$A$100,0)),"Margem"))</f>
        <v/>
      </c>
      <c r="G731" s="78">
        <f>IF($A731="","",IFERROR(INDEX(Configurações!$B$5:$B$100,MATCH($C731,Configurações!$A$5:$A$100,0)),0))</f>
        <v/>
      </c>
      <c r="H731" s="78">
        <f>IF(OR($A731="",'Importar Reservas'!M723&lt;&gt;"Aprovado",$D731&lt;=0),"",MAX(0,IF($F731="Margem",$D731-$E731,$D731))*$G731)</f>
        <v/>
      </c>
    </row>
    <row r="732" ht="15" customHeight="1" s="79">
      <c r="A732" s="78">
        <f>IF('Importar Reservas'!A724="","",'Importar Reservas'!A724)</f>
        <v/>
      </c>
      <c r="B732" s="78">
        <f>IF($A732="","",'Importar Reservas'!B724)</f>
        <v/>
      </c>
      <c r="C732" s="78">
        <f>IF($A732="","",'Importar Reservas'!Z724)</f>
        <v/>
      </c>
      <c r="D732" s="78">
        <f>IF($A732="","",IF('Importar Reservas'!O724="",0,'Importar Reservas'!O724))</f>
        <v/>
      </c>
      <c r="E732" s="78">
        <f>IF($A732="","",IF('Importar Reservas'!N724="",0,'Importar Reservas'!N724))</f>
        <v/>
      </c>
      <c r="F732" s="78">
        <f>IF($A732="","",IFERROR(INDEX(Configurações!$C$5:$C$100,MATCH($C732,Configurações!$A$5:$A$100,0)),"Margem"))</f>
        <v/>
      </c>
      <c r="G732" s="78">
        <f>IF($A732="","",IFERROR(INDEX(Configurações!$B$5:$B$100,MATCH($C732,Configurações!$A$5:$A$100,0)),0))</f>
        <v/>
      </c>
      <c r="H732" s="78">
        <f>IF(OR($A732="",'Importar Reservas'!M724&lt;&gt;"Aprovado",$D732&lt;=0),"",MAX(0,IF($F732="Margem",$D732-$E732,$D732))*$G732)</f>
        <v/>
      </c>
    </row>
    <row r="733" ht="15" customHeight="1" s="79">
      <c r="A733" s="78">
        <f>IF('Importar Reservas'!A725="","",'Importar Reservas'!A725)</f>
        <v/>
      </c>
      <c r="B733" s="78">
        <f>IF($A733="","",'Importar Reservas'!B725)</f>
        <v/>
      </c>
      <c r="C733" s="78">
        <f>IF($A733="","",'Importar Reservas'!Z725)</f>
        <v/>
      </c>
      <c r="D733" s="78">
        <f>IF($A733="","",IF('Importar Reservas'!O725="",0,'Importar Reservas'!O725))</f>
        <v/>
      </c>
      <c r="E733" s="78">
        <f>IF($A733="","",IF('Importar Reservas'!N725="",0,'Importar Reservas'!N725))</f>
        <v/>
      </c>
      <c r="F733" s="78">
        <f>IF($A733="","",IFERROR(INDEX(Configurações!$C$5:$C$100,MATCH($C733,Configurações!$A$5:$A$100,0)),"Margem"))</f>
        <v/>
      </c>
      <c r="G733" s="78">
        <f>IF($A733="","",IFERROR(INDEX(Configurações!$B$5:$B$100,MATCH($C733,Configurações!$A$5:$A$100,0)),0))</f>
        <v/>
      </c>
      <c r="H733" s="78">
        <f>IF(OR($A733="",'Importar Reservas'!M725&lt;&gt;"Aprovado",$D733&lt;=0),"",MAX(0,IF($F733="Margem",$D733-$E733,$D733))*$G733)</f>
        <v/>
      </c>
    </row>
    <row r="734" ht="15" customHeight="1" s="79">
      <c r="A734" s="78">
        <f>IF('Importar Reservas'!A726="","",'Importar Reservas'!A726)</f>
        <v/>
      </c>
      <c r="B734" s="78">
        <f>IF($A734="","",'Importar Reservas'!B726)</f>
        <v/>
      </c>
      <c r="C734" s="78">
        <f>IF($A734="","",'Importar Reservas'!Z726)</f>
        <v/>
      </c>
      <c r="D734" s="78">
        <f>IF($A734="","",IF('Importar Reservas'!O726="",0,'Importar Reservas'!O726))</f>
        <v/>
      </c>
      <c r="E734" s="78">
        <f>IF($A734="","",IF('Importar Reservas'!N726="",0,'Importar Reservas'!N726))</f>
        <v/>
      </c>
      <c r="F734" s="78">
        <f>IF($A734="","",IFERROR(INDEX(Configurações!$C$5:$C$100,MATCH($C734,Configurações!$A$5:$A$100,0)),"Margem"))</f>
        <v/>
      </c>
      <c r="G734" s="78">
        <f>IF($A734="","",IFERROR(INDEX(Configurações!$B$5:$B$100,MATCH($C734,Configurações!$A$5:$A$100,0)),0))</f>
        <v/>
      </c>
      <c r="H734" s="78">
        <f>IF(OR($A734="",'Importar Reservas'!M726&lt;&gt;"Aprovado",$D734&lt;=0),"",MAX(0,IF($F734="Margem",$D734-$E734,$D734))*$G734)</f>
        <v/>
      </c>
    </row>
    <row r="735" ht="15" customHeight="1" s="79">
      <c r="A735" s="78">
        <f>IF('Importar Reservas'!A727="","",'Importar Reservas'!A727)</f>
        <v/>
      </c>
      <c r="B735" s="78">
        <f>IF($A735="","",'Importar Reservas'!B727)</f>
        <v/>
      </c>
      <c r="C735" s="78">
        <f>IF($A735="","",'Importar Reservas'!Z727)</f>
        <v/>
      </c>
      <c r="D735" s="78">
        <f>IF($A735="","",IF('Importar Reservas'!O727="",0,'Importar Reservas'!O727))</f>
        <v/>
      </c>
      <c r="E735" s="78">
        <f>IF($A735="","",IF('Importar Reservas'!N727="",0,'Importar Reservas'!N727))</f>
        <v/>
      </c>
      <c r="F735" s="78">
        <f>IF($A735="","",IFERROR(INDEX(Configurações!$C$5:$C$100,MATCH($C735,Configurações!$A$5:$A$100,0)),"Margem"))</f>
        <v/>
      </c>
      <c r="G735" s="78">
        <f>IF($A735="","",IFERROR(INDEX(Configurações!$B$5:$B$100,MATCH($C735,Configurações!$A$5:$A$100,0)),0))</f>
        <v/>
      </c>
      <c r="H735" s="78">
        <f>IF(OR($A735="",'Importar Reservas'!M727&lt;&gt;"Aprovado",$D735&lt;=0),"",MAX(0,IF($F735="Margem",$D735-$E735,$D735))*$G735)</f>
        <v/>
      </c>
    </row>
    <row r="736" ht="15" customHeight="1" s="79">
      <c r="A736" s="78">
        <f>IF('Importar Reservas'!A728="","",'Importar Reservas'!A728)</f>
        <v/>
      </c>
      <c r="B736" s="78">
        <f>IF($A736="","",'Importar Reservas'!B728)</f>
        <v/>
      </c>
      <c r="C736" s="78">
        <f>IF($A736="","",'Importar Reservas'!Z728)</f>
        <v/>
      </c>
      <c r="D736" s="78">
        <f>IF($A736="","",IF('Importar Reservas'!O728="",0,'Importar Reservas'!O728))</f>
        <v/>
      </c>
      <c r="E736" s="78">
        <f>IF($A736="","",IF('Importar Reservas'!N728="",0,'Importar Reservas'!N728))</f>
        <v/>
      </c>
      <c r="F736" s="78">
        <f>IF($A736="","",IFERROR(INDEX(Configurações!$C$5:$C$100,MATCH($C736,Configurações!$A$5:$A$100,0)),"Margem"))</f>
        <v/>
      </c>
      <c r="G736" s="78">
        <f>IF($A736="","",IFERROR(INDEX(Configurações!$B$5:$B$100,MATCH($C736,Configurações!$A$5:$A$100,0)),0))</f>
        <v/>
      </c>
      <c r="H736" s="78">
        <f>IF(OR($A736="",'Importar Reservas'!M728&lt;&gt;"Aprovado",$D736&lt;=0),"",MAX(0,IF($F736="Margem",$D736-$E736,$D736))*$G736)</f>
        <v/>
      </c>
    </row>
    <row r="737" ht="15" customHeight="1" s="79">
      <c r="A737" s="78">
        <f>IF('Importar Reservas'!A729="","",'Importar Reservas'!A729)</f>
        <v/>
      </c>
      <c r="B737" s="78">
        <f>IF($A737="","",'Importar Reservas'!B729)</f>
        <v/>
      </c>
      <c r="C737" s="78">
        <f>IF($A737="","",'Importar Reservas'!Z729)</f>
        <v/>
      </c>
      <c r="D737" s="78">
        <f>IF($A737="","",IF('Importar Reservas'!O729="",0,'Importar Reservas'!O729))</f>
        <v/>
      </c>
      <c r="E737" s="78">
        <f>IF($A737="","",IF('Importar Reservas'!N729="",0,'Importar Reservas'!N729))</f>
        <v/>
      </c>
      <c r="F737" s="78">
        <f>IF($A737="","",IFERROR(INDEX(Configurações!$C$5:$C$100,MATCH($C737,Configurações!$A$5:$A$100,0)),"Margem"))</f>
        <v/>
      </c>
      <c r="G737" s="78">
        <f>IF($A737="","",IFERROR(INDEX(Configurações!$B$5:$B$100,MATCH($C737,Configurações!$A$5:$A$100,0)),0))</f>
        <v/>
      </c>
      <c r="H737" s="78">
        <f>IF(OR($A737="",'Importar Reservas'!M729&lt;&gt;"Aprovado",$D737&lt;=0),"",MAX(0,IF($F737="Margem",$D737-$E737,$D737))*$G737)</f>
        <v/>
      </c>
    </row>
    <row r="738" ht="15" customHeight="1" s="79">
      <c r="A738" s="78">
        <f>IF('Importar Reservas'!A730="","",'Importar Reservas'!A730)</f>
        <v/>
      </c>
      <c r="B738" s="78">
        <f>IF($A738="","",'Importar Reservas'!B730)</f>
        <v/>
      </c>
      <c r="C738" s="78">
        <f>IF($A738="","",'Importar Reservas'!Z730)</f>
        <v/>
      </c>
      <c r="D738" s="78">
        <f>IF($A738="","",IF('Importar Reservas'!O730="",0,'Importar Reservas'!O730))</f>
        <v/>
      </c>
      <c r="E738" s="78">
        <f>IF($A738="","",IF('Importar Reservas'!N730="",0,'Importar Reservas'!N730))</f>
        <v/>
      </c>
      <c r="F738" s="78">
        <f>IF($A738="","",IFERROR(INDEX(Configurações!$C$5:$C$100,MATCH($C738,Configurações!$A$5:$A$100,0)),"Margem"))</f>
        <v/>
      </c>
      <c r="G738" s="78">
        <f>IF($A738="","",IFERROR(INDEX(Configurações!$B$5:$B$100,MATCH($C738,Configurações!$A$5:$A$100,0)),0))</f>
        <v/>
      </c>
      <c r="H738" s="78">
        <f>IF(OR($A738="",'Importar Reservas'!M730&lt;&gt;"Aprovado",$D738&lt;=0),"",MAX(0,IF($F738="Margem",$D738-$E738,$D738))*$G738)</f>
        <v/>
      </c>
    </row>
    <row r="739" ht="15" customHeight="1" s="79">
      <c r="A739" s="78">
        <f>IF('Importar Reservas'!A731="","",'Importar Reservas'!A731)</f>
        <v/>
      </c>
      <c r="B739" s="78">
        <f>IF($A739="","",'Importar Reservas'!B731)</f>
        <v/>
      </c>
      <c r="C739" s="78">
        <f>IF($A739="","",'Importar Reservas'!Z731)</f>
        <v/>
      </c>
      <c r="D739" s="78">
        <f>IF($A739="","",IF('Importar Reservas'!O731="",0,'Importar Reservas'!O731))</f>
        <v/>
      </c>
      <c r="E739" s="78">
        <f>IF($A739="","",IF('Importar Reservas'!N731="",0,'Importar Reservas'!N731))</f>
        <v/>
      </c>
      <c r="F739" s="78">
        <f>IF($A739="","",IFERROR(INDEX(Configurações!$C$5:$C$100,MATCH($C739,Configurações!$A$5:$A$100,0)),"Margem"))</f>
        <v/>
      </c>
      <c r="G739" s="78">
        <f>IF($A739="","",IFERROR(INDEX(Configurações!$B$5:$B$100,MATCH($C739,Configurações!$A$5:$A$100,0)),0))</f>
        <v/>
      </c>
      <c r="H739" s="78">
        <f>IF(OR($A739="",'Importar Reservas'!M731&lt;&gt;"Aprovado",$D739&lt;=0),"",MAX(0,IF($F739="Margem",$D739-$E739,$D739))*$G739)</f>
        <v/>
      </c>
    </row>
    <row r="740" ht="15" customHeight="1" s="79">
      <c r="A740" s="78">
        <f>IF('Importar Reservas'!A732="","",'Importar Reservas'!A732)</f>
        <v/>
      </c>
      <c r="B740" s="78">
        <f>IF($A740="","",'Importar Reservas'!B732)</f>
        <v/>
      </c>
      <c r="C740" s="78">
        <f>IF($A740="","",'Importar Reservas'!Z732)</f>
        <v/>
      </c>
      <c r="D740" s="78">
        <f>IF($A740="","",IF('Importar Reservas'!O732="",0,'Importar Reservas'!O732))</f>
        <v/>
      </c>
      <c r="E740" s="78">
        <f>IF($A740="","",IF('Importar Reservas'!N732="",0,'Importar Reservas'!N732))</f>
        <v/>
      </c>
      <c r="F740" s="78">
        <f>IF($A740="","",IFERROR(INDEX(Configurações!$C$5:$C$100,MATCH($C740,Configurações!$A$5:$A$100,0)),"Margem"))</f>
        <v/>
      </c>
      <c r="G740" s="78">
        <f>IF($A740="","",IFERROR(INDEX(Configurações!$B$5:$B$100,MATCH($C740,Configurações!$A$5:$A$100,0)),0))</f>
        <v/>
      </c>
      <c r="H740" s="78">
        <f>IF(OR($A740="",'Importar Reservas'!M732&lt;&gt;"Aprovado",$D740&lt;=0),"",MAX(0,IF($F740="Margem",$D740-$E740,$D740))*$G740)</f>
        <v/>
      </c>
    </row>
    <row r="741" ht="15" customHeight="1" s="79">
      <c r="A741" s="78">
        <f>IF('Importar Reservas'!A733="","",'Importar Reservas'!A733)</f>
        <v/>
      </c>
      <c r="B741" s="78">
        <f>IF($A741="","",'Importar Reservas'!B733)</f>
        <v/>
      </c>
      <c r="C741" s="78">
        <f>IF($A741="","",'Importar Reservas'!Z733)</f>
        <v/>
      </c>
      <c r="D741" s="78">
        <f>IF($A741="","",IF('Importar Reservas'!O733="",0,'Importar Reservas'!O733))</f>
        <v/>
      </c>
      <c r="E741" s="78">
        <f>IF($A741="","",IF('Importar Reservas'!N733="",0,'Importar Reservas'!N733))</f>
        <v/>
      </c>
      <c r="F741" s="78">
        <f>IF($A741="","",IFERROR(INDEX(Configurações!$C$5:$C$100,MATCH($C741,Configurações!$A$5:$A$100,0)),"Margem"))</f>
        <v/>
      </c>
      <c r="G741" s="78">
        <f>IF($A741="","",IFERROR(INDEX(Configurações!$B$5:$B$100,MATCH($C741,Configurações!$A$5:$A$100,0)),0))</f>
        <v/>
      </c>
      <c r="H741" s="78">
        <f>IF(OR($A741="",'Importar Reservas'!M733&lt;&gt;"Aprovado",$D741&lt;=0),"",MAX(0,IF($F741="Margem",$D741-$E741,$D741))*$G741)</f>
        <v/>
      </c>
    </row>
    <row r="742" ht="15" customHeight="1" s="79">
      <c r="A742" s="78">
        <f>IF('Importar Reservas'!A734="","",'Importar Reservas'!A734)</f>
        <v/>
      </c>
      <c r="B742" s="78">
        <f>IF($A742="","",'Importar Reservas'!B734)</f>
        <v/>
      </c>
      <c r="C742" s="78">
        <f>IF($A742="","",'Importar Reservas'!Z734)</f>
        <v/>
      </c>
      <c r="D742" s="78">
        <f>IF($A742="","",IF('Importar Reservas'!O734="",0,'Importar Reservas'!O734))</f>
        <v/>
      </c>
      <c r="E742" s="78">
        <f>IF($A742="","",IF('Importar Reservas'!N734="",0,'Importar Reservas'!N734))</f>
        <v/>
      </c>
      <c r="F742" s="78">
        <f>IF($A742="","",IFERROR(INDEX(Configurações!$C$5:$C$100,MATCH($C742,Configurações!$A$5:$A$100,0)),"Margem"))</f>
        <v/>
      </c>
      <c r="G742" s="78">
        <f>IF($A742="","",IFERROR(INDEX(Configurações!$B$5:$B$100,MATCH($C742,Configurações!$A$5:$A$100,0)),0))</f>
        <v/>
      </c>
      <c r="H742" s="78">
        <f>IF(OR($A742="",'Importar Reservas'!M734&lt;&gt;"Aprovado",$D742&lt;=0),"",MAX(0,IF($F742="Margem",$D742-$E742,$D742))*$G742)</f>
        <v/>
      </c>
    </row>
    <row r="743" ht="15" customHeight="1" s="79">
      <c r="A743" s="78">
        <f>IF('Importar Reservas'!A735="","",'Importar Reservas'!A735)</f>
        <v/>
      </c>
      <c r="B743" s="78">
        <f>IF($A743="","",'Importar Reservas'!B735)</f>
        <v/>
      </c>
      <c r="C743" s="78">
        <f>IF($A743="","",'Importar Reservas'!Z735)</f>
        <v/>
      </c>
      <c r="D743" s="78">
        <f>IF($A743="","",IF('Importar Reservas'!O735="",0,'Importar Reservas'!O735))</f>
        <v/>
      </c>
      <c r="E743" s="78">
        <f>IF($A743="","",IF('Importar Reservas'!N735="",0,'Importar Reservas'!N735))</f>
        <v/>
      </c>
      <c r="F743" s="78">
        <f>IF($A743="","",IFERROR(INDEX(Configurações!$C$5:$C$100,MATCH($C743,Configurações!$A$5:$A$100,0)),"Margem"))</f>
        <v/>
      </c>
      <c r="G743" s="78">
        <f>IF($A743="","",IFERROR(INDEX(Configurações!$B$5:$B$100,MATCH($C743,Configurações!$A$5:$A$100,0)),0))</f>
        <v/>
      </c>
      <c r="H743" s="78">
        <f>IF(OR($A743="",'Importar Reservas'!M735&lt;&gt;"Aprovado",$D743&lt;=0),"",MAX(0,IF($F743="Margem",$D743-$E743,$D743))*$G743)</f>
        <v/>
      </c>
    </row>
    <row r="744" ht="15" customHeight="1" s="79">
      <c r="A744" s="78">
        <f>IF('Importar Reservas'!A736="","",'Importar Reservas'!A736)</f>
        <v/>
      </c>
      <c r="B744" s="78">
        <f>IF($A744="","",'Importar Reservas'!B736)</f>
        <v/>
      </c>
      <c r="C744" s="78">
        <f>IF($A744="","",'Importar Reservas'!Z736)</f>
        <v/>
      </c>
      <c r="D744" s="78">
        <f>IF($A744="","",IF('Importar Reservas'!O736="",0,'Importar Reservas'!O736))</f>
        <v/>
      </c>
      <c r="E744" s="78">
        <f>IF($A744="","",IF('Importar Reservas'!N736="",0,'Importar Reservas'!N736))</f>
        <v/>
      </c>
      <c r="F744" s="78">
        <f>IF($A744="","",IFERROR(INDEX(Configurações!$C$5:$C$100,MATCH($C744,Configurações!$A$5:$A$100,0)),"Margem"))</f>
        <v/>
      </c>
      <c r="G744" s="78">
        <f>IF($A744="","",IFERROR(INDEX(Configurações!$B$5:$B$100,MATCH($C744,Configurações!$A$5:$A$100,0)),0))</f>
        <v/>
      </c>
      <c r="H744" s="78">
        <f>IF(OR($A744="",'Importar Reservas'!M736&lt;&gt;"Aprovado",$D744&lt;=0),"",MAX(0,IF($F744="Margem",$D744-$E744,$D744))*$G744)</f>
        <v/>
      </c>
    </row>
    <row r="745" ht="15" customHeight="1" s="79">
      <c r="A745" s="78">
        <f>IF('Importar Reservas'!A737="","",'Importar Reservas'!A737)</f>
        <v/>
      </c>
      <c r="B745" s="78">
        <f>IF($A745="","",'Importar Reservas'!B737)</f>
        <v/>
      </c>
      <c r="C745" s="78">
        <f>IF($A745="","",'Importar Reservas'!Z737)</f>
        <v/>
      </c>
      <c r="D745" s="78">
        <f>IF($A745="","",IF('Importar Reservas'!O737="",0,'Importar Reservas'!O737))</f>
        <v/>
      </c>
      <c r="E745" s="78">
        <f>IF($A745="","",IF('Importar Reservas'!N737="",0,'Importar Reservas'!N737))</f>
        <v/>
      </c>
      <c r="F745" s="78">
        <f>IF($A745="","",IFERROR(INDEX(Configurações!$C$5:$C$100,MATCH($C745,Configurações!$A$5:$A$100,0)),"Margem"))</f>
        <v/>
      </c>
      <c r="G745" s="78">
        <f>IF($A745="","",IFERROR(INDEX(Configurações!$B$5:$B$100,MATCH($C745,Configurações!$A$5:$A$100,0)),0))</f>
        <v/>
      </c>
      <c r="H745" s="78">
        <f>IF(OR($A745="",'Importar Reservas'!M737&lt;&gt;"Aprovado",$D745&lt;=0),"",MAX(0,IF($F745="Margem",$D745-$E745,$D745))*$G745)</f>
        <v/>
      </c>
    </row>
    <row r="746" ht="15" customHeight="1" s="79">
      <c r="A746" s="78">
        <f>IF('Importar Reservas'!A738="","",'Importar Reservas'!A738)</f>
        <v/>
      </c>
      <c r="B746" s="78">
        <f>IF($A746="","",'Importar Reservas'!B738)</f>
        <v/>
      </c>
      <c r="C746" s="78">
        <f>IF($A746="","",'Importar Reservas'!Z738)</f>
        <v/>
      </c>
      <c r="D746" s="78">
        <f>IF($A746="","",IF('Importar Reservas'!O738="",0,'Importar Reservas'!O738))</f>
        <v/>
      </c>
      <c r="E746" s="78">
        <f>IF($A746="","",IF('Importar Reservas'!N738="",0,'Importar Reservas'!N738))</f>
        <v/>
      </c>
      <c r="F746" s="78">
        <f>IF($A746="","",IFERROR(INDEX(Configurações!$C$5:$C$100,MATCH($C746,Configurações!$A$5:$A$100,0)),"Margem"))</f>
        <v/>
      </c>
      <c r="G746" s="78">
        <f>IF($A746="","",IFERROR(INDEX(Configurações!$B$5:$B$100,MATCH($C746,Configurações!$A$5:$A$100,0)),0))</f>
        <v/>
      </c>
      <c r="H746" s="78">
        <f>IF(OR($A746="",'Importar Reservas'!M738&lt;&gt;"Aprovado",$D746&lt;=0),"",MAX(0,IF($F746="Margem",$D746-$E746,$D746))*$G746)</f>
        <v/>
      </c>
    </row>
    <row r="747" ht="15" customHeight="1" s="79">
      <c r="A747" s="78">
        <f>IF('Importar Reservas'!A739="","",'Importar Reservas'!A739)</f>
        <v/>
      </c>
      <c r="B747" s="78">
        <f>IF($A747="","",'Importar Reservas'!B739)</f>
        <v/>
      </c>
      <c r="C747" s="78">
        <f>IF($A747="","",'Importar Reservas'!Z739)</f>
        <v/>
      </c>
      <c r="D747" s="78">
        <f>IF($A747="","",IF('Importar Reservas'!O739="",0,'Importar Reservas'!O739))</f>
        <v/>
      </c>
      <c r="E747" s="78">
        <f>IF($A747="","",IF('Importar Reservas'!N739="",0,'Importar Reservas'!N739))</f>
        <v/>
      </c>
      <c r="F747" s="78">
        <f>IF($A747="","",IFERROR(INDEX(Configurações!$C$5:$C$100,MATCH($C747,Configurações!$A$5:$A$100,0)),"Margem"))</f>
        <v/>
      </c>
      <c r="G747" s="78">
        <f>IF($A747="","",IFERROR(INDEX(Configurações!$B$5:$B$100,MATCH($C747,Configurações!$A$5:$A$100,0)),0))</f>
        <v/>
      </c>
      <c r="H747" s="78">
        <f>IF(OR($A747="",'Importar Reservas'!M739&lt;&gt;"Aprovado",$D747&lt;=0),"",MAX(0,IF($F747="Margem",$D747-$E747,$D747))*$G747)</f>
        <v/>
      </c>
    </row>
    <row r="748" ht="15" customHeight="1" s="79">
      <c r="A748" s="78">
        <f>IF('Importar Reservas'!A740="","",'Importar Reservas'!A740)</f>
        <v/>
      </c>
      <c r="B748" s="78">
        <f>IF($A748="","",'Importar Reservas'!B740)</f>
        <v/>
      </c>
      <c r="C748" s="78">
        <f>IF($A748="","",'Importar Reservas'!Z740)</f>
        <v/>
      </c>
      <c r="D748" s="78">
        <f>IF($A748="","",IF('Importar Reservas'!O740="",0,'Importar Reservas'!O740))</f>
        <v/>
      </c>
      <c r="E748" s="78">
        <f>IF($A748="","",IF('Importar Reservas'!N740="",0,'Importar Reservas'!N740))</f>
        <v/>
      </c>
      <c r="F748" s="78">
        <f>IF($A748="","",IFERROR(INDEX(Configurações!$C$5:$C$100,MATCH($C748,Configurações!$A$5:$A$100,0)),"Margem"))</f>
        <v/>
      </c>
      <c r="G748" s="78">
        <f>IF($A748="","",IFERROR(INDEX(Configurações!$B$5:$B$100,MATCH($C748,Configurações!$A$5:$A$100,0)),0))</f>
        <v/>
      </c>
      <c r="H748" s="78">
        <f>IF(OR($A748="",'Importar Reservas'!M740&lt;&gt;"Aprovado",$D748&lt;=0),"",MAX(0,IF($F748="Margem",$D748-$E748,$D748))*$G748)</f>
        <v/>
      </c>
    </row>
    <row r="749" ht="15" customHeight="1" s="79">
      <c r="A749" s="78">
        <f>IF('Importar Reservas'!A741="","",'Importar Reservas'!A741)</f>
        <v/>
      </c>
      <c r="B749" s="78">
        <f>IF($A749="","",'Importar Reservas'!B741)</f>
        <v/>
      </c>
      <c r="C749" s="78">
        <f>IF($A749="","",'Importar Reservas'!Z741)</f>
        <v/>
      </c>
      <c r="D749" s="78">
        <f>IF($A749="","",IF('Importar Reservas'!O741="",0,'Importar Reservas'!O741))</f>
        <v/>
      </c>
      <c r="E749" s="78">
        <f>IF($A749="","",IF('Importar Reservas'!N741="",0,'Importar Reservas'!N741))</f>
        <v/>
      </c>
      <c r="F749" s="78">
        <f>IF($A749="","",IFERROR(INDEX(Configurações!$C$5:$C$100,MATCH($C749,Configurações!$A$5:$A$100,0)),"Margem"))</f>
        <v/>
      </c>
      <c r="G749" s="78">
        <f>IF($A749="","",IFERROR(INDEX(Configurações!$B$5:$B$100,MATCH($C749,Configurações!$A$5:$A$100,0)),0))</f>
        <v/>
      </c>
      <c r="H749" s="78">
        <f>IF(OR($A749="",'Importar Reservas'!M741&lt;&gt;"Aprovado",$D749&lt;=0),"",MAX(0,IF($F749="Margem",$D749-$E749,$D749))*$G749)</f>
        <v/>
      </c>
    </row>
    <row r="750" ht="15" customHeight="1" s="79">
      <c r="A750" s="78">
        <f>IF('Importar Reservas'!A742="","",'Importar Reservas'!A742)</f>
        <v/>
      </c>
      <c r="B750" s="78">
        <f>IF($A750="","",'Importar Reservas'!B742)</f>
        <v/>
      </c>
      <c r="C750" s="78">
        <f>IF($A750="","",'Importar Reservas'!Z742)</f>
        <v/>
      </c>
      <c r="D750" s="78">
        <f>IF($A750="","",IF('Importar Reservas'!O742="",0,'Importar Reservas'!O742))</f>
        <v/>
      </c>
      <c r="E750" s="78">
        <f>IF($A750="","",IF('Importar Reservas'!N742="",0,'Importar Reservas'!N742))</f>
        <v/>
      </c>
      <c r="F750" s="78">
        <f>IF($A750="","",IFERROR(INDEX(Configurações!$C$5:$C$100,MATCH($C750,Configurações!$A$5:$A$100,0)),"Margem"))</f>
        <v/>
      </c>
      <c r="G750" s="78">
        <f>IF($A750="","",IFERROR(INDEX(Configurações!$B$5:$B$100,MATCH($C750,Configurações!$A$5:$A$100,0)),0))</f>
        <v/>
      </c>
      <c r="H750" s="78">
        <f>IF(OR($A750="",'Importar Reservas'!M742&lt;&gt;"Aprovado",$D750&lt;=0),"",MAX(0,IF($F750="Margem",$D750-$E750,$D750))*$G750)</f>
        <v/>
      </c>
    </row>
    <row r="751" ht="15" customHeight="1" s="79">
      <c r="A751" s="78">
        <f>IF('Importar Reservas'!A743="","",'Importar Reservas'!A743)</f>
        <v/>
      </c>
      <c r="B751" s="78">
        <f>IF($A751="","",'Importar Reservas'!B743)</f>
        <v/>
      </c>
      <c r="C751" s="78">
        <f>IF($A751="","",'Importar Reservas'!Z743)</f>
        <v/>
      </c>
      <c r="D751" s="78">
        <f>IF($A751="","",IF('Importar Reservas'!O743="",0,'Importar Reservas'!O743))</f>
        <v/>
      </c>
      <c r="E751" s="78">
        <f>IF($A751="","",IF('Importar Reservas'!N743="",0,'Importar Reservas'!N743))</f>
        <v/>
      </c>
      <c r="F751" s="78">
        <f>IF($A751="","",IFERROR(INDEX(Configurações!$C$5:$C$100,MATCH($C751,Configurações!$A$5:$A$100,0)),"Margem"))</f>
        <v/>
      </c>
      <c r="G751" s="78">
        <f>IF($A751="","",IFERROR(INDEX(Configurações!$B$5:$B$100,MATCH($C751,Configurações!$A$5:$A$100,0)),0))</f>
        <v/>
      </c>
      <c r="H751" s="78">
        <f>IF(OR($A751="",'Importar Reservas'!M743&lt;&gt;"Aprovado",$D751&lt;=0),"",MAX(0,IF($F751="Margem",$D751-$E751,$D751))*$G751)</f>
        <v/>
      </c>
    </row>
    <row r="752" ht="15" customHeight="1" s="79">
      <c r="A752" s="78">
        <f>IF('Importar Reservas'!A744="","",'Importar Reservas'!A744)</f>
        <v/>
      </c>
      <c r="B752" s="78">
        <f>IF($A752="","",'Importar Reservas'!B744)</f>
        <v/>
      </c>
      <c r="C752" s="78">
        <f>IF($A752="","",'Importar Reservas'!Z744)</f>
        <v/>
      </c>
      <c r="D752" s="78">
        <f>IF($A752="","",IF('Importar Reservas'!O744="",0,'Importar Reservas'!O744))</f>
        <v/>
      </c>
      <c r="E752" s="78">
        <f>IF($A752="","",IF('Importar Reservas'!N744="",0,'Importar Reservas'!N744))</f>
        <v/>
      </c>
      <c r="F752" s="78">
        <f>IF($A752="","",IFERROR(INDEX(Configurações!$C$5:$C$100,MATCH($C752,Configurações!$A$5:$A$100,0)),"Margem"))</f>
        <v/>
      </c>
      <c r="G752" s="78">
        <f>IF($A752="","",IFERROR(INDEX(Configurações!$B$5:$B$100,MATCH($C752,Configurações!$A$5:$A$100,0)),0))</f>
        <v/>
      </c>
      <c r="H752" s="78">
        <f>IF(OR($A752="",'Importar Reservas'!M744&lt;&gt;"Aprovado",$D752&lt;=0),"",MAX(0,IF($F752="Margem",$D752-$E752,$D752))*$G752)</f>
        <v/>
      </c>
    </row>
    <row r="753" ht="15" customHeight="1" s="79">
      <c r="A753" s="78">
        <f>IF('Importar Reservas'!A745="","",'Importar Reservas'!A745)</f>
        <v/>
      </c>
      <c r="B753" s="78">
        <f>IF($A753="","",'Importar Reservas'!B745)</f>
        <v/>
      </c>
      <c r="C753" s="78">
        <f>IF($A753="","",'Importar Reservas'!Z745)</f>
        <v/>
      </c>
      <c r="D753" s="78">
        <f>IF($A753="","",IF('Importar Reservas'!O745="",0,'Importar Reservas'!O745))</f>
        <v/>
      </c>
      <c r="E753" s="78">
        <f>IF($A753="","",IF('Importar Reservas'!N745="",0,'Importar Reservas'!N745))</f>
        <v/>
      </c>
      <c r="F753" s="78">
        <f>IF($A753="","",IFERROR(INDEX(Configurações!$C$5:$C$100,MATCH($C753,Configurações!$A$5:$A$100,0)),"Margem"))</f>
        <v/>
      </c>
      <c r="G753" s="78">
        <f>IF($A753="","",IFERROR(INDEX(Configurações!$B$5:$B$100,MATCH($C753,Configurações!$A$5:$A$100,0)),0))</f>
        <v/>
      </c>
      <c r="H753" s="78">
        <f>IF(OR($A753="",'Importar Reservas'!M745&lt;&gt;"Aprovado",$D753&lt;=0),"",MAX(0,IF($F753="Margem",$D753-$E753,$D753))*$G753)</f>
        <v/>
      </c>
    </row>
    <row r="754" ht="15" customHeight="1" s="79">
      <c r="A754" s="78">
        <f>IF('Importar Reservas'!A746="","",'Importar Reservas'!A746)</f>
        <v/>
      </c>
      <c r="B754" s="78">
        <f>IF($A754="","",'Importar Reservas'!B746)</f>
        <v/>
      </c>
      <c r="C754" s="78">
        <f>IF($A754="","",'Importar Reservas'!Z746)</f>
        <v/>
      </c>
      <c r="D754" s="78">
        <f>IF($A754="","",IF('Importar Reservas'!O746="",0,'Importar Reservas'!O746))</f>
        <v/>
      </c>
      <c r="E754" s="78">
        <f>IF($A754="","",IF('Importar Reservas'!N746="",0,'Importar Reservas'!N746))</f>
        <v/>
      </c>
      <c r="F754" s="78">
        <f>IF($A754="","",IFERROR(INDEX(Configurações!$C$5:$C$100,MATCH($C754,Configurações!$A$5:$A$100,0)),"Margem"))</f>
        <v/>
      </c>
      <c r="G754" s="78">
        <f>IF($A754="","",IFERROR(INDEX(Configurações!$B$5:$B$100,MATCH($C754,Configurações!$A$5:$A$100,0)),0))</f>
        <v/>
      </c>
      <c r="H754" s="78">
        <f>IF(OR($A754="",'Importar Reservas'!M746&lt;&gt;"Aprovado",$D754&lt;=0),"",MAX(0,IF($F754="Margem",$D754-$E754,$D754))*$G754)</f>
        <v/>
      </c>
    </row>
    <row r="755" ht="15" customHeight="1" s="79">
      <c r="A755" s="78">
        <f>IF('Importar Reservas'!A747="","",'Importar Reservas'!A747)</f>
        <v/>
      </c>
      <c r="B755" s="78">
        <f>IF($A755="","",'Importar Reservas'!B747)</f>
        <v/>
      </c>
      <c r="C755" s="78">
        <f>IF($A755="","",'Importar Reservas'!Z747)</f>
        <v/>
      </c>
      <c r="D755" s="78">
        <f>IF($A755="","",IF('Importar Reservas'!O747="",0,'Importar Reservas'!O747))</f>
        <v/>
      </c>
      <c r="E755" s="78">
        <f>IF($A755="","",IF('Importar Reservas'!N747="",0,'Importar Reservas'!N747))</f>
        <v/>
      </c>
      <c r="F755" s="78">
        <f>IF($A755="","",IFERROR(INDEX(Configurações!$C$5:$C$100,MATCH($C755,Configurações!$A$5:$A$100,0)),"Margem"))</f>
        <v/>
      </c>
      <c r="G755" s="78">
        <f>IF($A755="","",IFERROR(INDEX(Configurações!$B$5:$B$100,MATCH($C755,Configurações!$A$5:$A$100,0)),0))</f>
        <v/>
      </c>
      <c r="H755" s="78">
        <f>IF(OR($A755="",'Importar Reservas'!M747&lt;&gt;"Aprovado",$D755&lt;=0),"",MAX(0,IF($F755="Margem",$D755-$E755,$D755))*$G755)</f>
        <v/>
      </c>
    </row>
    <row r="756" ht="15" customHeight="1" s="79">
      <c r="A756" s="78">
        <f>IF('Importar Reservas'!A748="","",'Importar Reservas'!A748)</f>
        <v/>
      </c>
      <c r="B756" s="78">
        <f>IF($A756="","",'Importar Reservas'!B748)</f>
        <v/>
      </c>
      <c r="C756" s="78">
        <f>IF($A756="","",'Importar Reservas'!Z748)</f>
        <v/>
      </c>
      <c r="D756" s="78">
        <f>IF($A756="","",IF('Importar Reservas'!O748="",0,'Importar Reservas'!O748))</f>
        <v/>
      </c>
      <c r="E756" s="78">
        <f>IF($A756="","",IF('Importar Reservas'!N748="",0,'Importar Reservas'!N748))</f>
        <v/>
      </c>
      <c r="F756" s="78">
        <f>IF($A756="","",IFERROR(INDEX(Configurações!$C$5:$C$100,MATCH($C756,Configurações!$A$5:$A$100,0)),"Margem"))</f>
        <v/>
      </c>
      <c r="G756" s="78">
        <f>IF($A756="","",IFERROR(INDEX(Configurações!$B$5:$B$100,MATCH($C756,Configurações!$A$5:$A$100,0)),0))</f>
        <v/>
      </c>
      <c r="H756" s="78">
        <f>IF(OR($A756="",'Importar Reservas'!M748&lt;&gt;"Aprovado",$D756&lt;=0),"",MAX(0,IF($F756="Margem",$D756-$E756,$D756))*$G756)</f>
        <v/>
      </c>
    </row>
    <row r="757" ht="15" customHeight="1" s="79">
      <c r="A757" s="78">
        <f>IF('Importar Reservas'!A749="","",'Importar Reservas'!A749)</f>
        <v/>
      </c>
      <c r="B757" s="78">
        <f>IF($A757="","",'Importar Reservas'!B749)</f>
        <v/>
      </c>
      <c r="C757" s="78">
        <f>IF($A757="","",'Importar Reservas'!Z749)</f>
        <v/>
      </c>
      <c r="D757" s="78">
        <f>IF($A757="","",IF('Importar Reservas'!O749="",0,'Importar Reservas'!O749))</f>
        <v/>
      </c>
      <c r="E757" s="78">
        <f>IF($A757="","",IF('Importar Reservas'!N749="",0,'Importar Reservas'!N749))</f>
        <v/>
      </c>
      <c r="F757" s="78">
        <f>IF($A757="","",IFERROR(INDEX(Configurações!$C$5:$C$100,MATCH($C757,Configurações!$A$5:$A$100,0)),"Margem"))</f>
        <v/>
      </c>
      <c r="G757" s="78">
        <f>IF($A757="","",IFERROR(INDEX(Configurações!$B$5:$B$100,MATCH($C757,Configurações!$A$5:$A$100,0)),0))</f>
        <v/>
      </c>
      <c r="H757" s="78">
        <f>IF(OR($A757="",'Importar Reservas'!M749&lt;&gt;"Aprovado",$D757&lt;=0),"",MAX(0,IF($F757="Margem",$D757-$E757,$D757))*$G757)</f>
        <v/>
      </c>
    </row>
    <row r="758" ht="15" customHeight="1" s="79">
      <c r="A758" s="78">
        <f>IF('Importar Reservas'!A750="","",'Importar Reservas'!A750)</f>
        <v/>
      </c>
      <c r="B758" s="78">
        <f>IF($A758="","",'Importar Reservas'!B750)</f>
        <v/>
      </c>
      <c r="C758" s="78">
        <f>IF($A758="","",'Importar Reservas'!Z750)</f>
        <v/>
      </c>
      <c r="D758" s="78">
        <f>IF($A758="","",IF('Importar Reservas'!O750="",0,'Importar Reservas'!O750))</f>
        <v/>
      </c>
      <c r="E758" s="78">
        <f>IF($A758="","",IF('Importar Reservas'!N750="",0,'Importar Reservas'!N750))</f>
        <v/>
      </c>
      <c r="F758" s="78">
        <f>IF($A758="","",IFERROR(INDEX(Configurações!$C$5:$C$100,MATCH($C758,Configurações!$A$5:$A$100,0)),"Margem"))</f>
        <v/>
      </c>
      <c r="G758" s="78">
        <f>IF($A758="","",IFERROR(INDEX(Configurações!$B$5:$B$100,MATCH($C758,Configurações!$A$5:$A$100,0)),0))</f>
        <v/>
      </c>
      <c r="H758" s="78">
        <f>IF(OR($A758="",'Importar Reservas'!M750&lt;&gt;"Aprovado",$D758&lt;=0),"",MAX(0,IF($F758="Margem",$D758-$E758,$D758))*$G758)</f>
        <v/>
      </c>
    </row>
    <row r="759" ht="15" customHeight="1" s="79">
      <c r="A759" s="78">
        <f>IF('Importar Reservas'!A751="","",'Importar Reservas'!A751)</f>
        <v/>
      </c>
      <c r="B759" s="78">
        <f>IF($A759="","",'Importar Reservas'!B751)</f>
        <v/>
      </c>
      <c r="C759" s="78">
        <f>IF($A759="","",'Importar Reservas'!Z751)</f>
        <v/>
      </c>
      <c r="D759" s="78">
        <f>IF($A759="","",IF('Importar Reservas'!O751="",0,'Importar Reservas'!O751))</f>
        <v/>
      </c>
      <c r="E759" s="78">
        <f>IF($A759="","",IF('Importar Reservas'!N751="",0,'Importar Reservas'!N751))</f>
        <v/>
      </c>
      <c r="F759" s="78">
        <f>IF($A759="","",IFERROR(INDEX(Configurações!$C$5:$C$100,MATCH($C759,Configurações!$A$5:$A$100,0)),"Margem"))</f>
        <v/>
      </c>
      <c r="G759" s="78">
        <f>IF($A759="","",IFERROR(INDEX(Configurações!$B$5:$B$100,MATCH($C759,Configurações!$A$5:$A$100,0)),0))</f>
        <v/>
      </c>
      <c r="H759" s="78">
        <f>IF(OR($A759="",'Importar Reservas'!M751&lt;&gt;"Aprovado",$D759&lt;=0),"",MAX(0,IF($F759="Margem",$D759-$E759,$D759))*$G759)</f>
        <v/>
      </c>
    </row>
    <row r="760" ht="15" customHeight="1" s="79">
      <c r="A760" s="78">
        <f>IF('Importar Reservas'!A752="","",'Importar Reservas'!A752)</f>
        <v/>
      </c>
      <c r="B760" s="78">
        <f>IF($A760="","",'Importar Reservas'!B752)</f>
        <v/>
      </c>
      <c r="C760" s="78">
        <f>IF($A760="","",'Importar Reservas'!Z752)</f>
        <v/>
      </c>
      <c r="D760" s="78">
        <f>IF($A760="","",IF('Importar Reservas'!O752="",0,'Importar Reservas'!O752))</f>
        <v/>
      </c>
      <c r="E760" s="78">
        <f>IF($A760="","",IF('Importar Reservas'!N752="",0,'Importar Reservas'!N752))</f>
        <v/>
      </c>
      <c r="F760" s="78">
        <f>IF($A760="","",IFERROR(INDEX(Configurações!$C$5:$C$100,MATCH($C760,Configurações!$A$5:$A$100,0)),"Margem"))</f>
        <v/>
      </c>
      <c r="G760" s="78">
        <f>IF($A760="","",IFERROR(INDEX(Configurações!$B$5:$B$100,MATCH($C760,Configurações!$A$5:$A$100,0)),0))</f>
        <v/>
      </c>
      <c r="H760" s="78">
        <f>IF(OR($A760="",'Importar Reservas'!M752&lt;&gt;"Aprovado",$D760&lt;=0),"",MAX(0,IF($F760="Margem",$D760-$E760,$D760))*$G760)</f>
        <v/>
      </c>
    </row>
    <row r="761" ht="15" customHeight="1" s="79">
      <c r="A761" s="78">
        <f>IF('Importar Reservas'!A753="","",'Importar Reservas'!A753)</f>
        <v/>
      </c>
      <c r="B761" s="78">
        <f>IF($A761="","",'Importar Reservas'!B753)</f>
        <v/>
      </c>
      <c r="C761" s="78">
        <f>IF($A761="","",'Importar Reservas'!Z753)</f>
        <v/>
      </c>
      <c r="D761" s="78">
        <f>IF($A761="","",IF('Importar Reservas'!O753="",0,'Importar Reservas'!O753))</f>
        <v/>
      </c>
      <c r="E761" s="78">
        <f>IF($A761="","",IF('Importar Reservas'!N753="",0,'Importar Reservas'!N753))</f>
        <v/>
      </c>
      <c r="F761" s="78">
        <f>IF($A761="","",IFERROR(INDEX(Configurações!$C$5:$C$100,MATCH($C761,Configurações!$A$5:$A$100,0)),"Margem"))</f>
        <v/>
      </c>
      <c r="G761" s="78">
        <f>IF($A761="","",IFERROR(INDEX(Configurações!$B$5:$B$100,MATCH($C761,Configurações!$A$5:$A$100,0)),0))</f>
        <v/>
      </c>
      <c r="H761" s="78">
        <f>IF(OR($A761="",'Importar Reservas'!M753&lt;&gt;"Aprovado",$D761&lt;=0),"",MAX(0,IF($F761="Margem",$D761-$E761,$D761))*$G761)</f>
        <v/>
      </c>
    </row>
    <row r="762" ht="15" customHeight="1" s="79">
      <c r="A762" s="78">
        <f>IF('Importar Reservas'!A754="","",'Importar Reservas'!A754)</f>
        <v/>
      </c>
      <c r="B762" s="78">
        <f>IF($A762="","",'Importar Reservas'!B754)</f>
        <v/>
      </c>
      <c r="C762" s="78">
        <f>IF($A762="","",'Importar Reservas'!Z754)</f>
        <v/>
      </c>
      <c r="D762" s="78">
        <f>IF($A762="","",IF('Importar Reservas'!O754="",0,'Importar Reservas'!O754))</f>
        <v/>
      </c>
      <c r="E762" s="78">
        <f>IF($A762="","",IF('Importar Reservas'!N754="",0,'Importar Reservas'!N754))</f>
        <v/>
      </c>
      <c r="F762" s="78">
        <f>IF($A762="","",IFERROR(INDEX(Configurações!$C$5:$C$100,MATCH($C762,Configurações!$A$5:$A$100,0)),"Margem"))</f>
        <v/>
      </c>
      <c r="G762" s="78">
        <f>IF($A762="","",IFERROR(INDEX(Configurações!$B$5:$B$100,MATCH($C762,Configurações!$A$5:$A$100,0)),0))</f>
        <v/>
      </c>
      <c r="H762" s="78">
        <f>IF(OR($A762="",'Importar Reservas'!M754&lt;&gt;"Aprovado",$D762&lt;=0),"",MAX(0,IF($F762="Margem",$D762-$E762,$D762))*$G762)</f>
        <v/>
      </c>
    </row>
    <row r="763" ht="15" customHeight="1" s="79">
      <c r="A763" s="78">
        <f>IF('Importar Reservas'!A755="","",'Importar Reservas'!A755)</f>
        <v/>
      </c>
      <c r="B763" s="78">
        <f>IF($A763="","",'Importar Reservas'!B755)</f>
        <v/>
      </c>
      <c r="C763" s="78">
        <f>IF($A763="","",'Importar Reservas'!Z755)</f>
        <v/>
      </c>
      <c r="D763" s="78">
        <f>IF($A763="","",IF('Importar Reservas'!O755="",0,'Importar Reservas'!O755))</f>
        <v/>
      </c>
      <c r="E763" s="78">
        <f>IF($A763="","",IF('Importar Reservas'!N755="",0,'Importar Reservas'!N755))</f>
        <v/>
      </c>
      <c r="F763" s="78">
        <f>IF($A763="","",IFERROR(INDEX(Configurações!$C$5:$C$100,MATCH($C763,Configurações!$A$5:$A$100,0)),"Margem"))</f>
        <v/>
      </c>
      <c r="G763" s="78">
        <f>IF($A763="","",IFERROR(INDEX(Configurações!$B$5:$B$100,MATCH($C763,Configurações!$A$5:$A$100,0)),0))</f>
        <v/>
      </c>
      <c r="H763" s="78">
        <f>IF(OR($A763="",'Importar Reservas'!M755&lt;&gt;"Aprovado",$D763&lt;=0),"",MAX(0,IF($F763="Margem",$D763-$E763,$D763))*$G763)</f>
        <v/>
      </c>
    </row>
    <row r="764" ht="15" customHeight="1" s="79">
      <c r="A764" s="78">
        <f>IF('Importar Reservas'!A756="","",'Importar Reservas'!A756)</f>
        <v/>
      </c>
      <c r="B764" s="78">
        <f>IF($A764="","",'Importar Reservas'!B756)</f>
        <v/>
      </c>
      <c r="C764" s="78">
        <f>IF($A764="","",'Importar Reservas'!Z756)</f>
        <v/>
      </c>
      <c r="D764" s="78">
        <f>IF($A764="","",IF('Importar Reservas'!O756="",0,'Importar Reservas'!O756))</f>
        <v/>
      </c>
      <c r="E764" s="78">
        <f>IF($A764="","",IF('Importar Reservas'!N756="",0,'Importar Reservas'!N756))</f>
        <v/>
      </c>
      <c r="F764" s="78">
        <f>IF($A764="","",IFERROR(INDEX(Configurações!$C$5:$C$100,MATCH($C764,Configurações!$A$5:$A$100,0)),"Margem"))</f>
        <v/>
      </c>
      <c r="G764" s="78">
        <f>IF($A764="","",IFERROR(INDEX(Configurações!$B$5:$B$100,MATCH($C764,Configurações!$A$5:$A$100,0)),0))</f>
        <v/>
      </c>
      <c r="H764" s="78">
        <f>IF(OR($A764="",'Importar Reservas'!M756&lt;&gt;"Aprovado",$D764&lt;=0),"",MAX(0,IF($F764="Margem",$D764-$E764,$D764))*$G764)</f>
        <v/>
      </c>
    </row>
    <row r="765" ht="15" customHeight="1" s="79">
      <c r="A765" s="78">
        <f>IF('Importar Reservas'!A757="","",'Importar Reservas'!A757)</f>
        <v/>
      </c>
      <c r="B765" s="78">
        <f>IF($A765="","",'Importar Reservas'!B757)</f>
        <v/>
      </c>
      <c r="C765" s="78">
        <f>IF($A765="","",'Importar Reservas'!Z757)</f>
        <v/>
      </c>
      <c r="D765" s="78">
        <f>IF($A765="","",IF('Importar Reservas'!O757="",0,'Importar Reservas'!O757))</f>
        <v/>
      </c>
      <c r="E765" s="78">
        <f>IF($A765="","",IF('Importar Reservas'!N757="",0,'Importar Reservas'!N757))</f>
        <v/>
      </c>
      <c r="F765" s="78">
        <f>IF($A765="","",IFERROR(INDEX(Configurações!$C$5:$C$100,MATCH($C765,Configurações!$A$5:$A$100,0)),"Margem"))</f>
        <v/>
      </c>
      <c r="G765" s="78">
        <f>IF($A765="","",IFERROR(INDEX(Configurações!$B$5:$B$100,MATCH($C765,Configurações!$A$5:$A$100,0)),0))</f>
        <v/>
      </c>
      <c r="H765" s="78">
        <f>IF(OR($A765="",'Importar Reservas'!M757&lt;&gt;"Aprovado",$D765&lt;=0),"",MAX(0,IF($F765="Margem",$D765-$E765,$D765))*$G765)</f>
        <v/>
      </c>
    </row>
    <row r="766" ht="15" customHeight="1" s="79">
      <c r="A766" s="78">
        <f>IF('Importar Reservas'!A758="","",'Importar Reservas'!A758)</f>
        <v/>
      </c>
      <c r="B766" s="78">
        <f>IF($A766="","",'Importar Reservas'!B758)</f>
        <v/>
      </c>
      <c r="C766" s="78">
        <f>IF($A766="","",'Importar Reservas'!Z758)</f>
        <v/>
      </c>
      <c r="D766" s="78">
        <f>IF($A766="","",IF('Importar Reservas'!O758="",0,'Importar Reservas'!O758))</f>
        <v/>
      </c>
      <c r="E766" s="78">
        <f>IF($A766="","",IF('Importar Reservas'!N758="",0,'Importar Reservas'!N758))</f>
        <v/>
      </c>
      <c r="F766" s="78">
        <f>IF($A766="","",IFERROR(INDEX(Configurações!$C$5:$C$100,MATCH($C766,Configurações!$A$5:$A$100,0)),"Margem"))</f>
        <v/>
      </c>
      <c r="G766" s="78">
        <f>IF($A766="","",IFERROR(INDEX(Configurações!$B$5:$B$100,MATCH($C766,Configurações!$A$5:$A$100,0)),0))</f>
        <v/>
      </c>
      <c r="H766" s="78">
        <f>IF(OR($A766="",'Importar Reservas'!M758&lt;&gt;"Aprovado",$D766&lt;=0),"",MAX(0,IF($F766="Margem",$D766-$E766,$D766))*$G766)</f>
        <v/>
      </c>
    </row>
    <row r="767" ht="15" customHeight="1" s="79">
      <c r="A767" s="78">
        <f>IF('Importar Reservas'!A759="","",'Importar Reservas'!A759)</f>
        <v/>
      </c>
      <c r="B767" s="78">
        <f>IF($A767="","",'Importar Reservas'!B759)</f>
        <v/>
      </c>
      <c r="C767" s="78">
        <f>IF($A767="","",'Importar Reservas'!Z759)</f>
        <v/>
      </c>
      <c r="D767" s="78">
        <f>IF($A767="","",IF('Importar Reservas'!O759="",0,'Importar Reservas'!O759))</f>
        <v/>
      </c>
      <c r="E767" s="78">
        <f>IF($A767="","",IF('Importar Reservas'!N759="",0,'Importar Reservas'!N759))</f>
        <v/>
      </c>
      <c r="F767" s="78">
        <f>IF($A767="","",IFERROR(INDEX(Configurações!$C$5:$C$100,MATCH($C767,Configurações!$A$5:$A$100,0)),"Margem"))</f>
        <v/>
      </c>
      <c r="G767" s="78">
        <f>IF($A767="","",IFERROR(INDEX(Configurações!$B$5:$B$100,MATCH($C767,Configurações!$A$5:$A$100,0)),0))</f>
        <v/>
      </c>
      <c r="H767" s="78">
        <f>IF(OR($A767="",'Importar Reservas'!M759&lt;&gt;"Aprovado",$D767&lt;=0),"",MAX(0,IF($F767="Margem",$D767-$E767,$D767))*$G767)</f>
        <v/>
      </c>
    </row>
    <row r="768" ht="15" customHeight="1" s="79">
      <c r="A768" s="78">
        <f>IF('Importar Reservas'!A760="","",'Importar Reservas'!A760)</f>
        <v/>
      </c>
      <c r="B768" s="78">
        <f>IF($A768="","",'Importar Reservas'!B760)</f>
        <v/>
      </c>
      <c r="C768" s="78">
        <f>IF($A768="","",'Importar Reservas'!Z760)</f>
        <v/>
      </c>
      <c r="D768" s="78">
        <f>IF($A768="","",IF('Importar Reservas'!O760="",0,'Importar Reservas'!O760))</f>
        <v/>
      </c>
      <c r="E768" s="78">
        <f>IF($A768="","",IF('Importar Reservas'!N760="",0,'Importar Reservas'!N760))</f>
        <v/>
      </c>
      <c r="F768" s="78">
        <f>IF($A768="","",IFERROR(INDEX(Configurações!$C$5:$C$100,MATCH($C768,Configurações!$A$5:$A$100,0)),"Margem"))</f>
        <v/>
      </c>
      <c r="G768" s="78">
        <f>IF($A768="","",IFERROR(INDEX(Configurações!$B$5:$B$100,MATCH($C768,Configurações!$A$5:$A$100,0)),0))</f>
        <v/>
      </c>
      <c r="H768" s="78">
        <f>IF(OR($A768="",'Importar Reservas'!M760&lt;&gt;"Aprovado",$D768&lt;=0),"",MAX(0,IF($F768="Margem",$D768-$E768,$D768))*$G768)</f>
        <v/>
      </c>
    </row>
    <row r="769" ht="15" customHeight="1" s="79">
      <c r="A769" s="78">
        <f>IF('Importar Reservas'!A761="","",'Importar Reservas'!A761)</f>
        <v/>
      </c>
      <c r="B769" s="78">
        <f>IF($A769="","",'Importar Reservas'!B761)</f>
        <v/>
      </c>
      <c r="C769" s="78">
        <f>IF($A769="","",'Importar Reservas'!Z761)</f>
        <v/>
      </c>
      <c r="D769" s="78">
        <f>IF($A769="","",IF('Importar Reservas'!O761="",0,'Importar Reservas'!O761))</f>
        <v/>
      </c>
      <c r="E769" s="78">
        <f>IF($A769="","",IF('Importar Reservas'!N761="",0,'Importar Reservas'!N761))</f>
        <v/>
      </c>
      <c r="F769" s="78">
        <f>IF($A769="","",IFERROR(INDEX(Configurações!$C$5:$C$100,MATCH($C769,Configurações!$A$5:$A$100,0)),"Margem"))</f>
        <v/>
      </c>
      <c r="G769" s="78">
        <f>IF($A769="","",IFERROR(INDEX(Configurações!$B$5:$B$100,MATCH($C769,Configurações!$A$5:$A$100,0)),0))</f>
        <v/>
      </c>
      <c r="H769" s="78">
        <f>IF(OR($A769="",'Importar Reservas'!M761&lt;&gt;"Aprovado",$D769&lt;=0),"",MAX(0,IF($F769="Margem",$D769-$E769,$D769))*$G769)</f>
        <v/>
      </c>
    </row>
    <row r="770" ht="15" customHeight="1" s="79">
      <c r="A770" s="78">
        <f>IF('Importar Reservas'!A762="","",'Importar Reservas'!A762)</f>
        <v/>
      </c>
      <c r="B770" s="78">
        <f>IF($A770="","",'Importar Reservas'!B762)</f>
        <v/>
      </c>
      <c r="C770" s="78">
        <f>IF($A770="","",'Importar Reservas'!Z762)</f>
        <v/>
      </c>
      <c r="D770" s="78">
        <f>IF($A770="","",IF('Importar Reservas'!O762="",0,'Importar Reservas'!O762))</f>
        <v/>
      </c>
      <c r="E770" s="78">
        <f>IF($A770="","",IF('Importar Reservas'!N762="",0,'Importar Reservas'!N762))</f>
        <v/>
      </c>
      <c r="F770" s="78">
        <f>IF($A770="","",IFERROR(INDEX(Configurações!$C$5:$C$100,MATCH($C770,Configurações!$A$5:$A$100,0)),"Margem"))</f>
        <v/>
      </c>
      <c r="G770" s="78">
        <f>IF($A770="","",IFERROR(INDEX(Configurações!$B$5:$B$100,MATCH($C770,Configurações!$A$5:$A$100,0)),0))</f>
        <v/>
      </c>
      <c r="H770" s="78">
        <f>IF(OR($A770="",'Importar Reservas'!M762&lt;&gt;"Aprovado",$D770&lt;=0),"",MAX(0,IF($F770="Margem",$D770-$E770,$D770))*$G770)</f>
        <v/>
      </c>
    </row>
    <row r="771" ht="15" customHeight="1" s="79">
      <c r="A771" s="78">
        <f>IF('Importar Reservas'!A763="","",'Importar Reservas'!A763)</f>
        <v/>
      </c>
      <c r="B771" s="78">
        <f>IF($A771="","",'Importar Reservas'!B763)</f>
        <v/>
      </c>
      <c r="C771" s="78">
        <f>IF($A771="","",'Importar Reservas'!Z763)</f>
        <v/>
      </c>
      <c r="D771" s="78">
        <f>IF($A771="","",IF('Importar Reservas'!O763="",0,'Importar Reservas'!O763))</f>
        <v/>
      </c>
      <c r="E771" s="78">
        <f>IF($A771="","",IF('Importar Reservas'!N763="",0,'Importar Reservas'!N763))</f>
        <v/>
      </c>
      <c r="F771" s="78">
        <f>IF($A771="","",IFERROR(INDEX(Configurações!$C$5:$C$100,MATCH($C771,Configurações!$A$5:$A$100,0)),"Margem"))</f>
        <v/>
      </c>
      <c r="G771" s="78">
        <f>IF($A771="","",IFERROR(INDEX(Configurações!$B$5:$B$100,MATCH($C771,Configurações!$A$5:$A$100,0)),0))</f>
        <v/>
      </c>
      <c r="H771" s="78">
        <f>IF(OR($A771="",'Importar Reservas'!M763&lt;&gt;"Aprovado",$D771&lt;=0),"",MAX(0,IF($F771="Margem",$D771-$E771,$D771))*$G771)</f>
        <v/>
      </c>
    </row>
    <row r="772" ht="15" customHeight="1" s="79">
      <c r="A772" s="78">
        <f>IF('Importar Reservas'!A764="","",'Importar Reservas'!A764)</f>
        <v/>
      </c>
      <c r="B772" s="78">
        <f>IF($A772="","",'Importar Reservas'!B764)</f>
        <v/>
      </c>
      <c r="C772" s="78">
        <f>IF($A772="","",'Importar Reservas'!Z764)</f>
        <v/>
      </c>
      <c r="D772" s="78">
        <f>IF($A772="","",IF('Importar Reservas'!O764="",0,'Importar Reservas'!O764))</f>
        <v/>
      </c>
      <c r="E772" s="78">
        <f>IF($A772="","",IF('Importar Reservas'!N764="",0,'Importar Reservas'!N764))</f>
        <v/>
      </c>
      <c r="F772" s="78">
        <f>IF($A772="","",IFERROR(INDEX(Configurações!$C$5:$C$100,MATCH($C772,Configurações!$A$5:$A$100,0)),"Margem"))</f>
        <v/>
      </c>
      <c r="G772" s="78">
        <f>IF($A772="","",IFERROR(INDEX(Configurações!$B$5:$B$100,MATCH($C772,Configurações!$A$5:$A$100,0)),0))</f>
        <v/>
      </c>
      <c r="H772" s="78">
        <f>IF(OR($A772="",'Importar Reservas'!M764&lt;&gt;"Aprovado",$D772&lt;=0),"",MAX(0,IF($F772="Margem",$D772-$E772,$D772))*$G772)</f>
        <v/>
      </c>
    </row>
    <row r="773" ht="15" customHeight="1" s="79">
      <c r="A773" s="78">
        <f>IF('Importar Reservas'!A765="","",'Importar Reservas'!A765)</f>
        <v/>
      </c>
      <c r="B773" s="78">
        <f>IF($A773="","",'Importar Reservas'!B765)</f>
        <v/>
      </c>
      <c r="C773" s="78">
        <f>IF($A773="","",'Importar Reservas'!Z765)</f>
        <v/>
      </c>
      <c r="D773" s="78">
        <f>IF($A773="","",IF('Importar Reservas'!O765="",0,'Importar Reservas'!O765))</f>
        <v/>
      </c>
      <c r="E773" s="78">
        <f>IF($A773="","",IF('Importar Reservas'!N765="",0,'Importar Reservas'!N765))</f>
        <v/>
      </c>
      <c r="F773" s="78">
        <f>IF($A773="","",IFERROR(INDEX(Configurações!$C$5:$C$100,MATCH($C773,Configurações!$A$5:$A$100,0)),"Margem"))</f>
        <v/>
      </c>
      <c r="G773" s="78">
        <f>IF($A773="","",IFERROR(INDEX(Configurações!$B$5:$B$100,MATCH($C773,Configurações!$A$5:$A$100,0)),0))</f>
        <v/>
      </c>
      <c r="H773" s="78">
        <f>IF(OR($A773="",'Importar Reservas'!M765&lt;&gt;"Aprovado",$D773&lt;=0),"",MAX(0,IF($F773="Margem",$D773-$E773,$D773))*$G773)</f>
        <v/>
      </c>
    </row>
    <row r="774" ht="15" customHeight="1" s="79">
      <c r="A774" s="78">
        <f>IF('Importar Reservas'!A766="","",'Importar Reservas'!A766)</f>
        <v/>
      </c>
      <c r="B774" s="78">
        <f>IF($A774="","",'Importar Reservas'!B766)</f>
        <v/>
      </c>
      <c r="C774" s="78">
        <f>IF($A774="","",'Importar Reservas'!Z766)</f>
        <v/>
      </c>
      <c r="D774" s="78">
        <f>IF($A774="","",IF('Importar Reservas'!O766="",0,'Importar Reservas'!O766))</f>
        <v/>
      </c>
      <c r="E774" s="78">
        <f>IF($A774="","",IF('Importar Reservas'!N766="",0,'Importar Reservas'!N766))</f>
        <v/>
      </c>
      <c r="F774" s="78">
        <f>IF($A774="","",IFERROR(INDEX(Configurações!$C$5:$C$100,MATCH($C774,Configurações!$A$5:$A$100,0)),"Margem"))</f>
        <v/>
      </c>
      <c r="G774" s="78">
        <f>IF($A774="","",IFERROR(INDEX(Configurações!$B$5:$B$100,MATCH($C774,Configurações!$A$5:$A$100,0)),0))</f>
        <v/>
      </c>
      <c r="H774" s="78">
        <f>IF(OR($A774="",'Importar Reservas'!M766&lt;&gt;"Aprovado",$D774&lt;=0),"",MAX(0,IF($F774="Margem",$D774-$E774,$D774))*$G774)</f>
        <v/>
      </c>
    </row>
    <row r="775" ht="15" customHeight="1" s="79">
      <c r="A775" s="78">
        <f>IF('Importar Reservas'!A767="","",'Importar Reservas'!A767)</f>
        <v/>
      </c>
      <c r="B775" s="78">
        <f>IF($A775="","",'Importar Reservas'!B767)</f>
        <v/>
      </c>
      <c r="C775" s="78">
        <f>IF($A775="","",'Importar Reservas'!Z767)</f>
        <v/>
      </c>
      <c r="D775" s="78">
        <f>IF($A775="","",IF('Importar Reservas'!O767="",0,'Importar Reservas'!O767))</f>
        <v/>
      </c>
      <c r="E775" s="78">
        <f>IF($A775="","",IF('Importar Reservas'!N767="",0,'Importar Reservas'!N767))</f>
        <v/>
      </c>
      <c r="F775" s="78">
        <f>IF($A775="","",IFERROR(INDEX(Configurações!$C$5:$C$100,MATCH($C775,Configurações!$A$5:$A$100,0)),"Margem"))</f>
        <v/>
      </c>
      <c r="G775" s="78">
        <f>IF($A775="","",IFERROR(INDEX(Configurações!$B$5:$B$100,MATCH($C775,Configurações!$A$5:$A$100,0)),0))</f>
        <v/>
      </c>
      <c r="H775" s="78">
        <f>IF(OR($A775="",'Importar Reservas'!M767&lt;&gt;"Aprovado",$D775&lt;=0),"",MAX(0,IF($F775="Margem",$D775-$E775,$D775))*$G775)</f>
        <v/>
      </c>
    </row>
    <row r="776" ht="15" customHeight="1" s="79">
      <c r="A776" s="78">
        <f>IF('Importar Reservas'!A768="","",'Importar Reservas'!A768)</f>
        <v/>
      </c>
      <c r="B776" s="78">
        <f>IF($A776="","",'Importar Reservas'!B768)</f>
        <v/>
      </c>
      <c r="C776" s="78">
        <f>IF($A776="","",'Importar Reservas'!Z768)</f>
        <v/>
      </c>
      <c r="D776" s="78">
        <f>IF($A776="","",IF('Importar Reservas'!O768="",0,'Importar Reservas'!O768))</f>
        <v/>
      </c>
      <c r="E776" s="78">
        <f>IF($A776="","",IF('Importar Reservas'!N768="",0,'Importar Reservas'!N768))</f>
        <v/>
      </c>
      <c r="F776" s="78">
        <f>IF($A776="","",IFERROR(INDEX(Configurações!$C$5:$C$100,MATCH($C776,Configurações!$A$5:$A$100,0)),"Margem"))</f>
        <v/>
      </c>
      <c r="G776" s="78">
        <f>IF($A776="","",IFERROR(INDEX(Configurações!$B$5:$B$100,MATCH($C776,Configurações!$A$5:$A$100,0)),0))</f>
        <v/>
      </c>
      <c r="H776" s="78">
        <f>IF(OR($A776="",'Importar Reservas'!M768&lt;&gt;"Aprovado",$D776&lt;=0),"",MAX(0,IF($F776="Margem",$D776-$E776,$D776))*$G776)</f>
        <v/>
      </c>
    </row>
    <row r="777" ht="15" customHeight="1" s="79">
      <c r="A777" s="78">
        <f>IF('Importar Reservas'!A769="","",'Importar Reservas'!A769)</f>
        <v/>
      </c>
      <c r="B777" s="78">
        <f>IF($A777="","",'Importar Reservas'!B769)</f>
        <v/>
      </c>
      <c r="C777" s="78">
        <f>IF($A777="","",'Importar Reservas'!Z769)</f>
        <v/>
      </c>
      <c r="D777" s="78">
        <f>IF($A777="","",IF('Importar Reservas'!O769="",0,'Importar Reservas'!O769))</f>
        <v/>
      </c>
      <c r="E777" s="78">
        <f>IF($A777="","",IF('Importar Reservas'!N769="",0,'Importar Reservas'!N769))</f>
        <v/>
      </c>
      <c r="F777" s="78">
        <f>IF($A777="","",IFERROR(INDEX(Configurações!$C$5:$C$100,MATCH($C777,Configurações!$A$5:$A$100,0)),"Margem"))</f>
        <v/>
      </c>
      <c r="G777" s="78">
        <f>IF($A777="","",IFERROR(INDEX(Configurações!$B$5:$B$100,MATCH($C777,Configurações!$A$5:$A$100,0)),0))</f>
        <v/>
      </c>
      <c r="H777" s="78">
        <f>IF(OR($A777="",'Importar Reservas'!M769&lt;&gt;"Aprovado",$D777&lt;=0),"",MAX(0,IF($F777="Margem",$D777-$E777,$D777))*$G777)</f>
        <v/>
      </c>
    </row>
    <row r="778" ht="15" customHeight="1" s="79">
      <c r="A778" s="78">
        <f>IF('Importar Reservas'!A770="","",'Importar Reservas'!A770)</f>
        <v/>
      </c>
      <c r="B778" s="78">
        <f>IF($A778="","",'Importar Reservas'!B770)</f>
        <v/>
      </c>
      <c r="C778" s="78">
        <f>IF($A778="","",'Importar Reservas'!Z770)</f>
        <v/>
      </c>
      <c r="D778" s="78">
        <f>IF($A778="","",IF('Importar Reservas'!O770="",0,'Importar Reservas'!O770))</f>
        <v/>
      </c>
      <c r="E778" s="78">
        <f>IF($A778="","",IF('Importar Reservas'!N770="",0,'Importar Reservas'!N770))</f>
        <v/>
      </c>
      <c r="F778" s="78">
        <f>IF($A778="","",IFERROR(INDEX(Configurações!$C$5:$C$100,MATCH($C778,Configurações!$A$5:$A$100,0)),"Margem"))</f>
        <v/>
      </c>
      <c r="G778" s="78">
        <f>IF($A778="","",IFERROR(INDEX(Configurações!$B$5:$B$100,MATCH($C778,Configurações!$A$5:$A$100,0)),0))</f>
        <v/>
      </c>
      <c r="H778" s="78">
        <f>IF(OR($A778="",'Importar Reservas'!M770&lt;&gt;"Aprovado",$D778&lt;=0),"",MAX(0,IF($F778="Margem",$D778-$E778,$D778))*$G778)</f>
        <v/>
      </c>
    </row>
    <row r="779" ht="15" customHeight="1" s="79">
      <c r="A779" s="78">
        <f>IF('Importar Reservas'!A771="","",'Importar Reservas'!A771)</f>
        <v/>
      </c>
      <c r="B779" s="78">
        <f>IF($A779="","",'Importar Reservas'!B771)</f>
        <v/>
      </c>
      <c r="C779" s="78">
        <f>IF($A779="","",'Importar Reservas'!Z771)</f>
        <v/>
      </c>
      <c r="D779" s="78">
        <f>IF($A779="","",IF('Importar Reservas'!O771="",0,'Importar Reservas'!O771))</f>
        <v/>
      </c>
      <c r="E779" s="78">
        <f>IF($A779="","",IF('Importar Reservas'!N771="",0,'Importar Reservas'!N771))</f>
        <v/>
      </c>
      <c r="F779" s="78">
        <f>IF($A779="","",IFERROR(INDEX(Configurações!$C$5:$C$100,MATCH($C779,Configurações!$A$5:$A$100,0)),"Margem"))</f>
        <v/>
      </c>
      <c r="G779" s="78">
        <f>IF($A779="","",IFERROR(INDEX(Configurações!$B$5:$B$100,MATCH($C779,Configurações!$A$5:$A$100,0)),0))</f>
        <v/>
      </c>
      <c r="H779" s="78">
        <f>IF(OR($A779="",'Importar Reservas'!M771&lt;&gt;"Aprovado",$D779&lt;=0),"",MAX(0,IF($F779="Margem",$D779-$E779,$D779))*$G779)</f>
        <v/>
      </c>
    </row>
    <row r="780" ht="15" customHeight="1" s="79">
      <c r="A780" s="78">
        <f>IF('Importar Reservas'!A772="","",'Importar Reservas'!A772)</f>
        <v/>
      </c>
      <c r="B780" s="78">
        <f>IF($A780="","",'Importar Reservas'!B772)</f>
        <v/>
      </c>
      <c r="C780" s="78">
        <f>IF($A780="","",'Importar Reservas'!Z772)</f>
        <v/>
      </c>
      <c r="D780" s="78">
        <f>IF($A780="","",IF('Importar Reservas'!O772="",0,'Importar Reservas'!O772))</f>
        <v/>
      </c>
      <c r="E780" s="78">
        <f>IF($A780="","",IF('Importar Reservas'!N772="",0,'Importar Reservas'!N772))</f>
        <v/>
      </c>
      <c r="F780" s="78">
        <f>IF($A780="","",IFERROR(INDEX(Configurações!$C$5:$C$100,MATCH($C780,Configurações!$A$5:$A$100,0)),"Margem"))</f>
        <v/>
      </c>
      <c r="G780" s="78">
        <f>IF($A780="","",IFERROR(INDEX(Configurações!$B$5:$B$100,MATCH($C780,Configurações!$A$5:$A$100,0)),0))</f>
        <v/>
      </c>
      <c r="H780" s="78">
        <f>IF(OR($A780="",'Importar Reservas'!M772&lt;&gt;"Aprovado",$D780&lt;=0),"",MAX(0,IF($F780="Margem",$D780-$E780,$D780))*$G780)</f>
        <v/>
      </c>
    </row>
    <row r="781" ht="15" customHeight="1" s="79">
      <c r="A781" s="78">
        <f>IF('Importar Reservas'!A773="","",'Importar Reservas'!A773)</f>
        <v/>
      </c>
      <c r="B781" s="78">
        <f>IF($A781="","",'Importar Reservas'!B773)</f>
        <v/>
      </c>
      <c r="C781" s="78">
        <f>IF($A781="","",'Importar Reservas'!Z773)</f>
        <v/>
      </c>
      <c r="D781" s="78">
        <f>IF($A781="","",IF('Importar Reservas'!O773="",0,'Importar Reservas'!O773))</f>
        <v/>
      </c>
      <c r="E781" s="78">
        <f>IF($A781="","",IF('Importar Reservas'!N773="",0,'Importar Reservas'!N773))</f>
        <v/>
      </c>
      <c r="F781" s="78">
        <f>IF($A781="","",IFERROR(INDEX(Configurações!$C$5:$C$100,MATCH($C781,Configurações!$A$5:$A$100,0)),"Margem"))</f>
        <v/>
      </c>
      <c r="G781" s="78">
        <f>IF($A781="","",IFERROR(INDEX(Configurações!$B$5:$B$100,MATCH($C781,Configurações!$A$5:$A$100,0)),0))</f>
        <v/>
      </c>
      <c r="H781" s="78">
        <f>IF(OR($A781="",'Importar Reservas'!M773&lt;&gt;"Aprovado",$D781&lt;=0),"",MAX(0,IF($F781="Margem",$D781-$E781,$D781))*$G781)</f>
        <v/>
      </c>
    </row>
    <row r="782" ht="15" customHeight="1" s="79">
      <c r="A782" s="78">
        <f>IF('Importar Reservas'!A774="","",'Importar Reservas'!A774)</f>
        <v/>
      </c>
      <c r="B782" s="78">
        <f>IF($A782="","",'Importar Reservas'!B774)</f>
        <v/>
      </c>
      <c r="C782" s="78">
        <f>IF($A782="","",'Importar Reservas'!Z774)</f>
        <v/>
      </c>
      <c r="D782" s="78">
        <f>IF($A782="","",IF('Importar Reservas'!O774="",0,'Importar Reservas'!O774))</f>
        <v/>
      </c>
      <c r="E782" s="78">
        <f>IF($A782="","",IF('Importar Reservas'!N774="",0,'Importar Reservas'!N774))</f>
        <v/>
      </c>
      <c r="F782" s="78">
        <f>IF($A782="","",IFERROR(INDEX(Configurações!$C$5:$C$100,MATCH($C782,Configurações!$A$5:$A$100,0)),"Margem"))</f>
        <v/>
      </c>
      <c r="G782" s="78">
        <f>IF($A782="","",IFERROR(INDEX(Configurações!$B$5:$B$100,MATCH($C782,Configurações!$A$5:$A$100,0)),0))</f>
        <v/>
      </c>
      <c r="H782" s="78">
        <f>IF(OR($A782="",'Importar Reservas'!M774&lt;&gt;"Aprovado",$D782&lt;=0),"",MAX(0,IF($F782="Margem",$D782-$E782,$D782))*$G782)</f>
        <v/>
      </c>
    </row>
    <row r="783" ht="15" customHeight="1" s="79">
      <c r="A783" s="78">
        <f>IF('Importar Reservas'!A775="","",'Importar Reservas'!A775)</f>
        <v/>
      </c>
      <c r="B783" s="78">
        <f>IF($A783="","",'Importar Reservas'!B775)</f>
        <v/>
      </c>
      <c r="C783" s="78">
        <f>IF($A783="","",'Importar Reservas'!Z775)</f>
        <v/>
      </c>
      <c r="D783" s="78">
        <f>IF($A783="","",IF('Importar Reservas'!O775="",0,'Importar Reservas'!O775))</f>
        <v/>
      </c>
      <c r="E783" s="78">
        <f>IF($A783="","",IF('Importar Reservas'!N775="",0,'Importar Reservas'!N775))</f>
        <v/>
      </c>
      <c r="F783" s="78">
        <f>IF($A783="","",IFERROR(INDEX(Configurações!$C$5:$C$100,MATCH($C783,Configurações!$A$5:$A$100,0)),"Margem"))</f>
        <v/>
      </c>
      <c r="G783" s="78">
        <f>IF($A783="","",IFERROR(INDEX(Configurações!$B$5:$B$100,MATCH($C783,Configurações!$A$5:$A$100,0)),0))</f>
        <v/>
      </c>
      <c r="H783" s="78">
        <f>IF(OR($A783="",'Importar Reservas'!M775&lt;&gt;"Aprovado",$D783&lt;=0),"",MAX(0,IF($F783="Margem",$D783-$E783,$D783))*$G783)</f>
        <v/>
      </c>
    </row>
    <row r="784" ht="15" customHeight="1" s="79">
      <c r="A784" s="78">
        <f>IF('Importar Reservas'!A776="","",'Importar Reservas'!A776)</f>
        <v/>
      </c>
      <c r="B784" s="78">
        <f>IF($A784="","",'Importar Reservas'!B776)</f>
        <v/>
      </c>
      <c r="C784" s="78">
        <f>IF($A784="","",'Importar Reservas'!Z776)</f>
        <v/>
      </c>
      <c r="D784" s="78">
        <f>IF($A784="","",IF('Importar Reservas'!O776="",0,'Importar Reservas'!O776))</f>
        <v/>
      </c>
      <c r="E784" s="78">
        <f>IF($A784="","",IF('Importar Reservas'!N776="",0,'Importar Reservas'!N776))</f>
        <v/>
      </c>
      <c r="F784" s="78">
        <f>IF($A784="","",IFERROR(INDEX(Configurações!$C$5:$C$100,MATCH($C784,Configurações!$A$5:$A$100,0)),"Margem"))</f>
        <v/>
      </c>
      <c r="G784" s="78">
        <f>IF($A784="","",IFERROR(INDEX(Configurações!$B$5:$B$100,MATCH($C784,Configurações!$A$5:$A$100,0)),0))</f>
        <v/>
      </c>
      <c r="H784" s="78">
        <f>IF(OR($A784="",'Importar Reservas'!M776&lt;&gt;"Aprovado",$D784&lt;=0),"",MAX(0,IF($F784="Margem",$D784-$E784,$D784))*$G784)</f>
        <v/>
      </c>
    </row>
    <row r="785" ht="15" customHeight="1" s="79">
      <c r="A785" s="78">
        <f>IF('Importar Reservas'!A777="","",'Importar Reservas'!A777)</f>
        <v/>
      </c>
      <c r="B785" s="78">
        <f>IF($A785="","",'Importar Reservas'!B777)</f>
        <v/>
      </c>
      <c r="C785" s="78">
        <f>IF($A785="","",'Importar Reservas'!Z777)</f>
        <v/>
      </c>
      <c r="D785" s="78">
        <f>IF($A785="","",IF('Importar Reservas'!O777="",0,'Importar Reservas'!O777))</f>
        <v/>
      </c>
      <c r="E785" s="78">
        <f>IF($A785="","",IF('Importar Reservas'!N777="",0,'Importar Reservas'!N777))</f>
        <v/>
      </c>
      <c r="F785" s="78">
        <f>IF($A785="","",IFERROR(INDEX(Configurações!$C$5:$C$100,MATCH($C785,Configurações!$A$5:$A$100,0)),"Margem"))</f>
        <v/>
      </c>
      <c r="G785" s="78">
        <f>IF($A785="","",IFERROR(INDEX(Configurações!$B$5:$B$100,MATCH($C785,Configurações!$A$5:$A$100,0)),0))</f>
        <v/>
      </c>
      <c r="H785" s="78">
        <f>IF(OR($A785="",'Importar Reservas'!M777&lt;&gt;"Aprovado",$D785&lt;=0),"",MAX(0,IF($F785="Margem",$D785-$E785,$D785))*$G785)</f>
        <v/>
      </c>
    </row>
    <row r="786" ht="15" customHeight="1" s="79">
      <c r="A786" s="78">
        <f>IF('Importar Reservas'!A778="","",'Importar Reservas'!A778)</f>
        <v/>
      </c>
      <c r="B786" s="78">
        <f>IF($A786="","",'Importar Reservas'!B778)</f>
        <v/>
      </c>
      <c r="C786" s="78">
        <f>IF($A786="","",'Importar Reservas'!Z778)</f>
        <v/>
      </c>
      <c r="D786" s="78">
        <f>IF($A786="","",IF('Importar Reservas'!O778="",0,'Importar Reservas'!O778))</f>
        <v/>
      </c>
      <c r="E786" s="78">
        <f>IF($A786="","",IF('Importar Reservas'!N778="",0,'Importar Reservas'!N778))</f>
        <v/>
      </c>
      <c r="F786" s="78">
        <f>IF($A786="","",IFERROR(INDEX(Configurações!$C$5:$C$100,MATCH($C786,Configurações!$A$5:$A$100,0)),"Margem"))</f>
        <v/>
      </c>
      <c r="G786" s="78">
        <f>IF($A786="","",IFERROR(INDEX(Configurações!$B$5:$B$100,MATCH($C786,Configurações!$A$5:$A$100,0)),0))</f>
        <v/>
      </c>
      <c r="H786" s="78">
        <f>IF(OR($A786="",'Importar Reservas'!M778&lt;&gt;"Aprovado",$D786&lt;=0),"",MAX(0,IF($F786="Margem",$D786-$E786,$D786))*$G786)</f>
        <v/>
      </c>
    </row>
    <row r="787" ht="15" customHeight="1" s="79">
      <c r="A787" s="78">
        <f>IF('Importar Reservas'!A779="","",'Importar Reservas'!A779)</f>
        <v/>
      </c>
      <c r="B787" s="78">
        <f>IF($A787="","",'Importar Reservas'!B779)</f>
        <v/>
      </c>
      <c r="C787" s="78">
        <f>IF($A787="","",'Importar Reservas'!Z779)</f>
        <v/>
      </c>
      <c r="D787" s="78">
        <f>IF($A787="","",IF('Importar Reservas'!O779="",0,'Importar Reservas'!O779))</f>
        <v/>
      </c>
      <c r="E787" s="78">
        <f>IF($A787="","",IF('Importar Reservas'!N779="",0,'Importar Reservas'!N779))</f>
        <v/>
      </c>
      <c r="F787" s="78">
        <f>IF($A787="","",IFERROR(INDEX(Configurações!$C$5:$C$100,MATCH($C787,Configurações!$A$5:$A$100,0)),"Margem"))</f>
        <v/>
      </c>
      <c r="G787" s="78">
        <f>IF($A787="","",IFERROR(INDEX(Configurações!$B$5:$B$100,MATCH($C787,Configurações!$A$5:$A$100,0)),0))</f>
        <v/>
      </c>
      <c r="H787" s="78">
        <f>IF(OR($A787="",'Importar Reservas'!M779&lt;&gt;"Aprovado",$D787&lt;=0),"",MAX(0,IF($F787="Margem",$D787-$E787,$D787))*$G787)</f>
        <v/>
      </c>
    </row>
    <row r="788" ht="15" customHeight="1" s="79">
      <c r="A788" s="78">
        <f>IF('Importar Reservas'!A780="","",'Importar Reservas'!A780)</f>
        <v/>
      </c>
      <c r="B788" s="78">
        <f>IF($A788="","",'Importar Reservas'!B780)</f>
        <v/>
      </c>
      <c r="C788" s="78">
        <f>IF($A788="","",'Importar Reservas'!Z780)</f>
        <v/>
      </c>
      <c r="D788" s="78">
        <f>IF($A788="","",IF('Importar Reservas'!O780="",0,'Importar Reservas'!O780))</f>
        <v/>
      </c>
      <c r="E788" s="78">
        <f>IF($A788="","",IF('Importar Reservas'!N780="",0,'Importar Reservas'!N780))</f>
        <v/>
      </c>
      <c r="F788" s="78">
        <f>IF($A788="","",IFERROR(INDEX(Configurações!$C$5:$C$100,MATCH($C788,Configurações!$A$5:$A$100,0)),"Margem"))</f>
        <v/>
      </c>
      <c r="G788" s="78">
        <f>IF($A788="","",IFERROR(INDEX(Configurações!$B$5:$B$100,MATCH($C788,Configurações!$A$5:$A$100,0)),0))</f>
        <v/>
      </c>
      <c r="H788" s="78">
        <f>IF(OR($A788="",'Importar Reservas'!M780&lt;&gt;"Aprovado",$D788&lt;=0),"",MAX(0,IF($F788="Margem",$D788-$E788,$D788))*$G788)</f>
        <v/>
      </c>
    </row>
    <row r="789" ht="15" customHeight="1" s="79">
      <c r="A789" s="78">
        <f>IF('Importar Reservas'!A781="","",'Importar Reservas'!A781)</f>
        <v/>
      </c>
      <c r="B789" s="78">
        <f>IF($A789="","",'Importar Reservas'!B781)</f>
        <v/>
      </c>
      <c r="C789" s="78">
        <f>IF($A789="","",'Importar Reservas'!Z781)</f>
        <v/>
      </c>
      <c r="D789" s="78">
        <f>IF($A789="","",IF('Importar Reservas'!O781="",0,'Importar Reservas'!O781))</f>
        <v/>
      </c>
      <c r="E789" s="78">
        <f>IF($A789="","",IF('Importar Reservas'!N781="",0,'Importar Reservas'!N781))</f>
        <v/>
      </c>
      <c r="F789" s="78">
        <f>IF($A789="","",IFERROR(INDEX(Configurações!$C$5:$C$100,MATCH($C789,Configurações!$A$5:$A$100,0)),"Margem"))</f>
        <v/>
      </c>
      <c r="G789" s="78">
        <f>IF($A789="","",IFERROR(INDEX(Configurações!$B$5:$B$100,MATCH($C789,Configurações!$A$5:$A$100,0)),0))</f>
        <v/>
      </c>
      <c r="H789" s="78">
        <f>IF(OR($A789="",'Importar Reservas'!M781&lt;&gt;"Aprovado",$D789&lt;=0),"",MAX(0,IF($F789="Margem",$D789-$E789,$D789))*$G789)</f>
        <v/>
      </c>
    </row>
    <row r="790" ht="15" customHeight="1" s="79">
      <c r="A790" s="78">
        <f>IF('Importar Reservas'!A782="","",'Importar Reservas'!A782)</f>
        <v/>
      </c>
      <c r="B790" s="78">
        <f>IF($A790="","",'Importar Reservas'!B782)</f>
        <v/>
      </c>
      <c r="C790" s="78">
        <f>IF($A790="","",'Importar Reservas'!Z782)</f>
        <v/>
      </c>
      <c r="D790" s="78">
        <f>IF($A790="","",IF('Importar Reservas'!O782="",0,'Importar Reservas'!O782))</f>
        <v/>
      </c>
      <c r="E790" s="78">
        <f>IF($A790="","",IF('Importar Reservas'!N782="",0,'Importar Reservas'!N782))</f>
        <v/>
      </c>
      <c r="F790" s="78">
        <f>IF($A790="","",IFERROR(INDEX(Configurações!$C$5:$C$100,MATCH($C790,Configurações!$A$5:$A$100,0)),"Margem"))</f>
        <v/>
      </c>
      <c r="G790" s="78">
        <f>IF($A790="","",IFERROR(INDEX(Configurações!$B$5:$B$100,MATCH($C790,Configurações!$A$5:$A$100,0)),0))</f>
        <v/>
      </c>
      <c r="H790" s="78">
        <f>IF(OR($A790="",'Importar Reservas'!M782&lt;&gt;"Aprovado",$D790&lt;=0),"",MAX(0,IF($F790="Margem",$D790-$E790,$D790))*$G790)</f>
        <v/>
      </c>
    </row>
    <row r="791" ht="15" customHeight="1" s="79">
      <c r="A791" s="78">
        <f>IF('Importar Reservas'!A783="","",'Importar Reservas'!A783)</f>
        <v/>
      </c>
      <c r="B791" s="78">
        <f>IF($A791="","",'Importar Reservas'!B783)</f>
        <v/>
      </c>
      <c r="C791" s="78">
        <f>IF($A791="","",'Importar Reservas'!Z783)</f>
        <v/>
      </c>
      <c r="D791" s="78">
        <f>IF($A791="","",IF('Importar Reservas'!O783="",0,'Importar Reservas'!O783))</f>
        <v/>
      </c>
      <c r="E791" s="78">
        <f>IF($A791="","",IF('Importar Reservas'!N783="",0,'Importar Reservas'!N783))</f>
        <v/>
      </c>
      <c r="F791" s="78">
        <f>IF($A791="","",IFERROR(INDEX(Configurações!$C$5:$C$100,MATCH($C791,Configurações!$A$5:$A$100,0)),"Margem"))</f>
        <v/>
      </c>
      <c r="G791" s="78">
        <f>IF($A791="","",IFERROR(INDEX(Configurações!$B$5:$B$100,MATCH($C791,Configurações!$A$5:$A$100,0)),0))</f>
        <v/>
      </c>
      <c r="H791" s="78">
        <f>IF(OR($A791="",'Importar Reservas'!M783&lt;&gt;"Aprovado",$D791&lt;=0),"",MAX(0,IF($F791="Margem",$D791-$E791,$D791))*$G791)</f>
        <v/>
      </c>
    </row>
    <row r="792" ht="15" customHeight="1" s="79">
      <c r="A792" s="78">
        <f>IF('Importar Reservas'!A784="","",'Importar Reservas'!A784)</f>
        <v/>
      </c>
      <c r="B792" s="78">
        <f>IF($A792="","",'Importar Reservas'!B784)</f>
        <v/>
      </c>
      <c r="C792" s="78">
        <f>IF($A792="","",'Importar Reservas'!Z784)</f>
        <v/>
      </c>
      <c r="D792" s="78">
        <f>IF($A792="","",IF('Importar Reservas'!O784="",0,'Importar Reservas'!O784))</f>
        <v/>
      </c>
      <c r="E792" s="78">
        <f>IF($A792="","",IF('Importar Reservas'!N784="",0,'Importar Reservas'!N784))</f>
        <v/>
      </c>
      <c r="F792" s="78">
        <f>IF($A792="","",IFERROR(INDEX(Configurações!$C$5:$C$100,MATCH($C792,Configurações!$A$5:$A$100,0)),"Margem"))</f>
        <v/>
      </c>
      <c r="G792" s="78">
        <f>IF($A792="","",IFERROR(INDEX(Configurações!$B$5:$B$100,MATCH($C792,Configurações!$A$5:$A$100,0)),0))</f>
        <v/>
      </c>
      <c r="H792" s="78">
        <f>IF(OR($A792="",'Importar Reservas'!M784&lt;&gt;"Aprovado",$D792&lt;=0),"",MAX(0,IF($F792="Margem",$D792-$E792,$D792))*$G792)</f>
        <v/>
      </c>
    </row>
    <row r="793" ht="15" customHeight="1" s="79">
      <c r="A793" s="78">
        <f>IF('Importar Reservas'!A785="","",'Importar Reservas'!A785)</f>
        <v/>
      </c>
      <c r="B793" s="78">
        <f>IF($A793="","",'Importar Reservas'!B785)</f>
        <v/>
      </c>
      <c r="C793" s="78">
        <f>IF($A793="","",'Importar Reservas'!Z785)</f>
        <v/>
      </c>
      <c r="D793" s="78">
        <f>IF($A793="","",IF('Importar Reservas'!O785="",0,'Importar Reservas'!O785))</f>
        <v/>
      </c>
      <c r="E793" s="78">
        <f>IF($A793="","",IF('Importar Reservas'!N785="",0,'Importar Reservas'!N785))</f>
        <v/>
      </c>
      <c r="F793" s="78">
        <f>IF($A793="","",IFERROR(INDEX(Configurações!$C$5:$C$100,MATCH($C793,Configurações!$A$5:$A$100,0)),"Margem"))</f>
        <v/>
      </c>
      <c r="G793" s="78">
        <f>IF($A793="","",IFERROR(INDEX(Configurações!$B$5:$B$100,MATCH($C793,Configurações!$A$5:$A$100,0)),0))</f>
        <v/>
      </c>
      <c r="H793" s="78">
        <f>IF(OR($A793="",'Importar Reservas'!M785&lt;&gt;"Aprovado",$D793&lt;=0),"",MAX(0,IF($F793="Margem",$D793-$E793,$D793))*$G793)</f>
        <v/>
      </c>
    </row>
    <row r="794" ht="15" customHeight="1" s="79">
      <c r="A794" s="78">
        <f>IF('Importar Reservas'!A786="","",'Importar Reservas'!A786)</f>
        <v/>
      </c>
      <c r="B794" s="78">
        <f>IF($A794="","",'Importar Reservas'!B786)</f>
        <v/>
      </c>
      <c r="C794" s="78">
        <f>IF($A794="","",'Importar Reservas'!Z786)</f>
        <v/>
      </c>
      <c r="D794" s="78">
        <f>IF($A794="","",IF('Importar Reservas'!O786="",0,'Importar Reservas'!O786))</f>
        <v/>
      </c>
      <c r="E794" s="78">
        <f>IF($A794="","",IF('Importar Reservas'!N786="",0,'Importar Reservas'!N786))</f>
        <v/>
      </c>
      <c r="F794" s="78">
        <f>IF($A794="","",IFERROR(INDEX(Configurações!$C$5:$C$100,MATCH($C794,Configurações!$A$5:$A$100,0)),"Margem"))</f>
        <v/>
      </c>
      <c r="G794" s="78">
        <f>IF($A794="","",IFERROR(INDEX(Configurações!$B$5:$B$100,MATCH($C794,Configurações!$A$5:$A$100,0)),0))</f>
        <v/>
      </c>
      <c r="H794" s="78">
        <f>IF(OR($A794="",'Importar Reservas'!M786&lt;&gt;"Aprovado",$D794&lt;=0),"",MAX(0,IF($F794="Margem",$D794-$E794,$D794))*$G794)</f>
        <v/>
      </c>
    </row>
    <row r="795" ht="15" customHeight="1" s="79">
      <c r="A795" s="78">
        <f>IF('Importar Reservas'!A787="","",'Importar Reservas'!A787)</f>
        <v/>
      </c>
      <c r="B795" s="78">
        <f>IF($A795="","",'Importar Reservas'!B787)</f>
        <v/>
      </c>
      <c r="C795" s="78">
        <f>IF($A795="","",'Importar Reservas'!Z787)</f>
        <v/>
      </c>
      <c r="D795" s="78">
        <f>IF($A795="","",IF('Importar Reservas'!O787="",0,'Importar Reservas'!O787))</f>
        <v/>
      </c>
      <c r="E795" s="78">
        <f>IF($A795="","",IF('Importar Reservas'!N787="",0,'Importar Reservas'!N787))</f>
        <v/>
      </c>
      <c r="F795" s="78">
        <f>IF($A795="","",IFERROR(INDEX(Configurações!$C$5:$C$100,MATCH($C795,Configurações!$A$5:$A$100,0)),"Margem"))</f>
        <v/>
      </c>
      <c r="G795" s="78">
        <f>IF($A795="","",IFERROR(INDEX(Configurações!$B$5:$B$100,MATCH($C795,Configurações!$A$5:$A$100,0)),0))</f>
        <v/>
      </c>
      <c r="H795" s="78">
        <f>IF(OR($A795="",'Importar Reservas'!M787&lt;&gt;"Aprovado",$D795&lt;=0),"",MAX(0,IF($F795="Margem",$D795-$E795,$D795))*$G795)</f>
        <v/>
      </c>
    </row>
    <row r="796" ht="15" customHeight="1" s="79">
      <c r="A796" s="78">
        <f>IF('Importar Reservas'!A788="","",'Importar Reservas'!A788)</f>
        <v/>
      </c>
      <c r="B796" s="78">
        <f>IF($A796="","",'Importar Reservas'!B788)</f>
        <v/>
      </c>
      <c r="C796" s="78">
        <f>IF($A796="","",'Importar Reservas'!Z788)</f>
        <v/>
      </c>
      <c r="D796" s="78">
        <f>IF($A796="","",IF('Importar Reservas'!O788="",0,'Importar Reservas'!O788))</f>
        <v/>
      </c>
      <c r="E796" s="78">
        <f>IF($A796="","",IF('Importar Reservas'!N788="",0,'Importar Reservas'!N788))</f>
        <v/>
      </c>
      <c r="F796" s="78">
        <f>IF($A796="","",IFERROR(INDEX(Configurações!$C$5:$C$100,MATCH($C796,Configurações!$A$5:$A$100,0)),"Margem"))</f>
        <v/>
      </c>
      <c r="G796" s="78">
        <f>IF($A796="","",IFERROR(INDEX(Configurações!$B$5:$B$100,MATCH($C796,Configurações!$A$5:$A$100,0)),0))</f>
        <v/>
      </c>
      <c r="H796" s="78">
        <f>IF(OR($A796="",'Importar Reservas'!M788&lt;&gt;"Aprovado",$D796&lt;=0),"",MAX(0,IF($F796="Margem",$D796-$E796,$D796))*$G796)</f>
        <v/>
      </c>
    </row>
    <row r="797" ht="15" customHeight="1" s="79">
      <c r="A797" s="78">
        <f>IF('Importar Reservas'!A789="","",'Importar Reservas'!A789)</f>
        <v/>
      </c>
      <c r="B797" s="78">
        <f>IF($A797="","",'Importar Reservas'!B789)</f>
        <v/>
      </c>
      <c r="C797" s="78">
        <f>IF($A797="","",'Importar Reservas'!Z789)</f>
        <v/>
      </c>
      <c r="D797" s="78">
        <f>IF($A797="","",IF('Importar Reservas'!O789="",0,'Importar Reservas'!O789))</f>
        <v/>
      </c>
      <c r="E797" s="78">
        <f>IF($A797="","",IF('Importar Reservas'!N789="",0,'Importar Reservas'!N789))</f>
        <v/>
      </c>
      <c r="F797" s="78">
        <f>IF($A797="","",IFERROR(INDEX(Configurações!$C$5:$C$100,MATCH($C797,Configurações!$A$5:$A$100,0)),"Margem"))</f>
        <v/>
      </c>
      <c r="G797" s="78">
        <f>IF($A797="","",IFERROR(INDEX(Configurações!$B$5:$B$100,MATCH($C797,Configurações!$A$5:$A$100,0)),0))</f>
        <v/>
      </c>
      <c r="H797" s="78">
        <f>IF(OR($A797="",'Importar Reservas'!M789&lt;&gt;"Aprovado",$D797&lt;=0),"",MAX(0,IF($F797="Margem",$D797-$E797,$D797))*$G797)</f>
        <v/>
      </c>
    </row>
    <row r="798" ht="15" customHeight="1" s="79">
      <c r="A798" s="78">
        <f>IF('Importar Reservas'!A790="","",'Importar Reservas'!A790)</f>
        <v/>
      </c>
      <c r="B798" s="78">
        <f>IF($A798="","",'Importar Reservas'!B790)</f>
        <v/>
      </c>
      <c r="C798" s="78">
        <f>IF($A798="","",'Importar Reservas'!Z790)</f>
        <v/>
      </c>
      <c r="D798" s="78">
        <f>IF($A798="","",IF('Importar Reservas'!O790="",0,'Importar Reservas'!O790))</f>
        <v/>
      </c>
      <c r="E798" s="78">
        <f>IF($A798="","",IF('Importar Reservas'!N790="",0,'Importar Reservas'!N790))</f>
        <v/>
      </c>
      <c r="F798" s="78">
        <f>IF($A798="","",IFERROR(INDEX(Configurações!$C$5:$C$100,MATCH($C798,Configurações!$A$5:$A$100,0)),"Margem"))</f>
        <v/>
      </c>
      <c r="G798" s="78">
        <f>IF($A798="","",IFERROR(INDEX(Configurações!$B$5:$B$100,MATCH($C798,Configurações!$A$5:$A$100,0)),0))</f>
        <v/>
      </c>
      <c r="H798" s="78">
        <f>IF(OR($A798="",'Importar Reservas'!M790&lt;&gt;"Aprovado",$D798&lt;=0),"",MAX(0,IF($F798="Margem",$D798-$E798,$D798))*$G798)</f>
        <v/>
      </c>
    </row>
    <row r="799" ht="15" customHeight="1" s="79">
      <c r="A799" s="78">
        <f>IF('Importar Reservas'!A791="","",'Importar Reservas'!A791)</f>
        <v/>
      </c>
      <c r="B799" s="78">
        <f>IF($A799="","",'Importar Reservas'!B791)</f>
        <v/>
      </c>
      <c r="C799" s="78">
        <f>IF($A799="","",'Importar Reservas'!Z791)</f>
        <v/>
      </c>
      <c r="D799" s="78">
        <f>IF($A799="","",IF('Importar Reservas'!O791="",0,'Importar Reservas'!O791))</f>
        <v/>
      </c>
      <c r="E799" s="78">
        <f>IF($A799="","",IF('Importar Reservas'!N791="",0,'Importar Reservas'!N791))</f>
        <v/>
      </c>
      <c r="F799" s="78">
        <f>IF($A799="","",IFERROR(INDEX(Configurações!$C$5:$C$100,MATCH($C799,Configurações!$A$5:$A$100,0)),"Margem"))</f>
        <v/>
      </c>
      <c r="G799" s="78">
        <f>IF($A799="","",IFERROR(INDEX(Configurações!$B$5:$B$100,MATCH($C799,Configurações!$A$5:$A$100,0)),0))</f>
        <v/>
      </c>
      <c r="H799" s="78">
        <f>IF(OR($A799="",'Importar Reservas'!M791&lt;&gt;"Aprovado",$D799&lt;=0),"",MAX(0,IF($F799="Margem",$D799-$E799,$D799))*$G799)</f>
        <v/>
      </c>
    </row>
    <row r="800" ht="15" customHeight="1" s="79">
      <c r="A800" s="78">
        <f>IF('Importar Reservas'!A792="","",'Importar Reservas'!A792)</f>
        <v/>
      </c>
      <c r="B800" s="78">
        <f>IF($A800="","",'Importar Reservas'!B792)</f>
        <v/>
      </c>
      <c r="C800" s="78">
        <f>IF($A800="","",'Importar Reservas'!Z792)</f>
        <v/>
      </c>
      <c r="D800" s="78">
        <f>IF($A800="","",IF('Importar Reservas'!O792="",0,'Importar Reservas'!O792))</f>
        <v/>
      </c>
      <c r="E800" s="78">
        <f>IF($A800="","",IF('Importar Reservas'!N792="",0,'Importar Reservas'!N792))</f>
        <v/>
      </c>
      <c r="F800" s="78">
        <f>IF($A800="","",IFERROR(INDEX(Configurações!$C$5:$C$100,MATCH($C800,Configurações!$A$5:$A$100,0)),"Margem"))</f>
        <v/>
      </c>
      <c r="G800" s="78">
        <f>IF($A800="","",IFERROR(INDEX(Configurações!$B$5:$B$100,MATCH($C800,Configurações!$A$5:$A$100,0)),0))</f>
        <v/>
      </c>
      <c r="H800" s="78">
        <f>IF(OR($A800="",'Importar Reservas'!M792&lt;&gt;"Aprovado",$D800&lt;=0),"",MAX(0,IF($F800="Margem",$D800-$E800,$D800))*$G800)</f>
        <v/>
      </c>
    </row>
    <row r="801" ht="15" customHeight="1" s="79">
      <c r="A801" s="78">
        <f>IF('Importar Reservas'!A793="","",'Importar Reservas'!A793)</f>
        <v/>
      </c>
      <c r="B801" s="78">
        <f>IF($A801="","",'Importar Reservas'!B793)</f>
        <v/>
      </c>
      <c r="C801" s="78">
        <f>IF($A801="","",'Importar Reservas'!Z793)</f>
        <v/>
      </c>
      <c r="D801" s="78">
        <f>IF($A801="","",IF('Importar Reservas'!O793="",0,'Importar Reservas'!O793))</f>
        <v/>
      </c>
      <c r="E801" s="78">
        <f>IF($A801="","",IF('Importar Reservas'!N793="",0,'Importar Reservas'!N793))</f>
        <v/>
      </c>
      <c r="F801" s="78">
        <f>IF($A801="","",IFERROR(INDEX(Configurações!$C$5:$C$100,MATCH($C801,Configurações!$A$5:$A$100,0)),"Margem"))</f>
        <v/>
      </c>
      <c r="G801" s="78">
        <f>IF($A801="","",IFERROR(INDEX(Configurações!$B$5:$B$100,MATCH($C801,Configurações!$A$5:$A$100,0)),0))</f>
        <v/>
      </c>
      <c r="H801" s="78">
        <f>IF(OR($A801="",'Importar Reservas'!M793&lt;&gt;"Aprovado",$D801&lt;=0),"",MAX(0,IF($F801="Margem",$D801-$E801,$D801))*$G801)</f>
        <v/>
      </c>
    </row>
    <row r="802" ht="15" customHeight="1" s="79">
      <c r="A802" s="78">
        <f>IF('Importar Reservas'!A794="","",'Importar Reservas'!A794)</f>
        <v/>
      </c>
      <c r="B802" s="78">
        <f>IF($A802="","",'Importar Reservas'!B794)</f>
        <v/>
      </c>
      <c r="C802" s="78">
        <f>IF($A802="","",'Importar Reservas'!Z794)</f>
        <v/>
      </c>
      <c r="D802" s="78">
        <f>IF($A802="","",IF('Importar Reservas'!O794="",0,'Importar Reservas'!O794))</f>
        <v/>
      </c>
      <c r="E802" s="78">
        <f>IF($A802="","",IF('Importar Reservas'!N794="",0,'Importar Reservas'!N794))</f>
        <v/>
      </c>
      <c r="F802" s="78">
        <f>IF($A802="","",IFERROR(INDEX(Configurações!$C$5:$C$100,MATCH($C802,Configurações!$A$5:$A$100,0)),"Margem"))</f>
        <v/>
      </c>
      <c r="G802" s="78">
        <f>IF($A802="","",IFERROR(INDEX(Configurações!$B$5:$B$100,MATCH($C802,Configurações!$A$5:$A$100,0)),0))</f>
        <v/>
      </c>
      <c r="H802" s="78">
        <f>IF(OR($A802="",'Importar Reservas'!M794&lt;&gt;"Aprovado",$D802&lt;=0),"",MAX(0,IF($F802="Margem",$D802-$E802,$D802))*$G802)</f>
        <v/>
      </c>
    </row>
    <row r="803" ht="15" customHeight="1" s="79">
      <c r="A803" s="78">
        <f>IF('Importar Reservas'!A795="","",'Importar Reservas'!A795)</f>
        <v/>
      </c>
      <c r="B803" s="78">
        <f>IF($A803="","",'Importar Reservas'!B795)</f>
        <v/>
      </c>
      <c r="C803" s="78">
        <f>IF($A803="","",'Importar Reservas'!Z795)</f>
        <v/>
      </c>
      <c r="D803" s="78">
        <f>IF($A803="","",IF('Importar Reservas'!O795="",0,'Importar Reservas'!O795))</f>
        <v/>
      </c>
      <c r="E803" s="78">
        <f>IF($A803="","",IF('Importar Reservas'!N795="",0,'Importar Reservas'!N795))</f>
        <v/>
      </c>
      <c r="F803" s="78">
        <f>IF($A803="","",IFERROR(INDEX(Configurações!$C$5:$C$100,MATCH($C803,Configurações!$A$5:$A$100,0)),"Margem"))</f>
        <v/>
      </c>
      <c r="G803" s="78">
        <f>IF($A803="","",IFERROR(INDEX(Configurações!$B$5:$B$100,MATCH($C803,Configurações!$A$5:$A$100,0)),0))</f>
        <v/>
      </c>
      <c r="H803" s="78">
        <f>IF(OR($A803="",'Importar Reservas'!M795&lt;&gt;"Aprovado",$D803&lt;=0),"",MAX(0,IF($F803="Margem",$D803-$E803,$D803))*$G803)</f>
        <v/>
      </c>
    </row>
    <row r="804" ht="15" customHeight="1" s="79">
      <c r="A804" s="78">
        <f>IF('Importar Reservas'!A796="","",'Importar Reservas'!A796)</f>
        <v/>
      </c>
      <c r="B804" s="78">
        <f>IF($A804="","",'Importar Reservas'!B796)</f>
        <v/>
      </c>
      <c r="C804" s="78">
        <f>IF($A804="","",'Importar Reservas'!Z796)</f>
        <v/>
      </c>
      <c r="D804" s="78">
        <f>IF($A804="","",IF('Importar Reservas'!O796="",0,'Importar Reservas'!O796))</f>
        <v/>
      </c>
      <c r="E804" s="78">
        <f>IF($A804="","",IF('Importar Reservas'!N796="",0,'Importar Reservas'!N796))</f>
        <v/>
      </c>
      <c r="F804" s="78">
        <f>IF($A804="","",IFERROR(INDEX(Configurações!$C$5:$C$100,MATCH($C804,Configurações!$A$5:$A$100,0)),"Margem"))</f>
        <v/>
      </c>
      <c r="G804" s="78">
        <f>IF($A804="","",IFERROR(INDEX(Configurações!$B$5:$B$100,MATCH($C804,Configurações!$A$5:$A$100,0)),0))</f>
        <v/>
      </c>
      <c r="H804" s="78">
        <f>IF(OR($A804="",'Importar Reservas'!M796&lt;&gt;"Aprovado",$D804&lt;=0),"",MAX(0,IF($F804="Margem",$D804-$E804,$D804))*$G804)</f>
        <v/>
      </c>
    </row>
    <row r="805" ht="15" customHeight="1" s="79">
      <c r="A805" s="78">
        <f>IF('Importar Reservas'!A797="","",'Importar Reservas'!A797)</f>
        <v/>
      </c>
      <c r="B805" s="78">
        <f>IF($A805="","",'Importar Reservas'!B797)</f>
        <v/>
      </c>
      <c r="C805" s="78">
        <f>IF($A805="","",'Importar Reservas'!Z797)</f>
        <v/>
      </c>
      <c r="D805" s="78">
        <f>IF($A805="","",IF('Importar Reservas'!O797="",0,'Importar Reservas'!O797))</f>
        <v/>
      </c>
      <c r="E805" s="78">
        <f>IF($A805="","",IF('Importar Reservas'!N797="",0,'Importar Reservas'!N797))</f>
        <v/>
      </c>
      <c r="F805" s="78">
        <f>IF($A805="","",IFERROR(INDEX(Configurações!$C$5:$C$100,MATCH($C805,Configurações!$A$5:$A$100,0)),"Margem"))</f>
        <v/>
      </c>
      <c r="G805" s="78">
        <f>IF($A805="","",IFERROR(INDEX(Configurações!$B$5:$B$100,MATCH($C805,Configurações!$A$5:$A$100,0)),0))</f>
        <v/>
      </c>
      <c r="H805" s="78">
        <f>IF(OR($A805="",'Importar Reservas'!M797&lt;&gt;"Aprovado",$D805&lt;=0),"",MAX(0,IF($F805="Margem",$D805-$E805,$D805))*$G805)</f>
        <v/>
      </c>
    </row>
    <row r="806" ht="15" customHeight="1" s="79">
      <c r="A806" s="78">
        <f>IF('Importar Reservas'!A798="","",'Importar Reservas'!A798)</f>
        <v/>
      </c>
      <c r="B806" s="78">
        <f>IF($A806="","",'Importar Reservas'!B798)</f>
        <v/>
      </c>
      <c r="C806" s="78">
        <f>IF($A806="","",'Importar Reservas'!Z798)</f>
        <v/>
      </c>
      <c r="D806" s="78">
        <f>IF($A806="","",IF('Importar Reservas'!O798="",0,'Importar Reservas'!O798))</f>
        <v/>
      </c>
      <c r="E806" s="78">
        <f>IF($A806="","",IF('Importar Reservas'!N798="",0,'Importar Reservas'!N798))</f>
        <v/>
      </c>
      <c r="F806" s="78">
        <f>IF($A806="","",IFERROR(INDEX(Configurações!$C$5:$C$100,MATCH($C806,Configurações!$A$5:$A$100,0)),"Margem"))</f>
        <v/>
      </c>
      <c r="G806" s="78">
        <f>IF($A806="","",IFERROR(INDEX(Configurações!$B$5:$B$100,MATCH($C806,Configurações!$A$5:$A$100,0)),0))</f>
        <v/>
      </c>
      <c r="H806" s="78">
        <f>IF(OR($A806="",'Importar Reservas'!M798&lt;&gt;"Aprovado",$D806&lt;=0),"",MAX(0,IF($F806="Margem",$D806-$E806,$D806))*$G806)</f>
        <v/>
      </c>
    </row>
    <row r="807" ht="15" customHeight="1" s="79">
      <c r="A807" s="78">
        <f>IF('Importar Reservas'!A799="","",'Importar Reservas'!A799)</f>
        <v/>
      </c>
      <c r="B807" s="78">
        <f>IF($A807="","",'Importar Reservas'!B799)</f>
        <v/>
      </c>
      <c r="C807" s="78">
        <f>IF($A807="","",'Importar Reservas'!Z799)</f>
        <v/>
      </c>
      <c r="D807" s="78">
        <f>IF($A807="","",IF('Importar Reservas'!O799="",0,'Importar Reservas'!O799))</f>
        <v/>
      </c>
      <c r="E807" s="78">
        <f>IF($A807="","",IF('Importar Reservas'!N799="",0,'Importar Reservas'!N799))</f>
        <v/>
      </c>
      <c r="F807" s="78">
        <f>IF($A807="","",IFERROR(INDEX(Configurações!$C$5:$C$100,MATCH($C807,Configurações!$A$5:$A$100,0)),"Margem"))</f>
        <v/>
      </c>
      <c r="G807" s="78">
        <f>IF($A807="","",IFERROR(INDEX(Configurações!$B$5:$B$100,MATCH($C807,Configurações!$A$5:$A$100,0)),0))</f>
        <v/>
      </c>
      <c r="H807" s="78">
        <f>IF(OR($A807="",'Importar Reservas'!M799&lt;&gt;"Aprovado",$D807&lt;=0),"",MAX(0,IF($F807="Margem",$D807-$E807,$D807))*$G807)</f>
        <v/>
      </c>
    </row>
    <row r="808" ht="15" customHeight="1" s="79">
      <c r="A808" s="78">
        <f>IF('Importar Reservas'!A800="","",'Importar Reservas'!A800)</f>
        <v/>
      </c>
      <c r="B808" s="78">
        <f>IF($A808="","",'Importar Reservas'!B800)</f>
        <v/>
      </c>
      <c r="C808" s="78">
        <f>IF($A808="","",'Importar Reservas'!Z800)</f>
        <v/>
      </c>
      <c r="D808" s="78">
        <f>IF($A808="","",IF('Importar Reservas'!O800="",0,'Importar Reservas'!O800))</f>
        <v/>
      </c>
      <c r="E808" s="78">
        <f>IF($A808="","",IF('Importar Reservas'!N800="",0,'Importar Reservas'!N800))</f>
        <v/>
      </c>
      <c r="F808" s="78">
        <f>IF($A808="","",IFERROR(INDEX(Configurações!$C$5:$C$100,MATCH($C808,Configurações!$A$5:$A$100,0)),"Margem"))</f>
        <v/>
      </c>
      <c r="G808" s="78">
        <f>IF($A808="","",IFERROR(INDEX(Configurações!$B$5:$B$100,MATCH($C808,Configurações!$A$5:$A$100,0)),0))</f>
        <v/>
      </c>
      <c r="H808" s="78">
        <f>IF(OR($A808="",'Importar Reservas'!M800&lt;&gt;"Aprovado",$D808&lt;=0),"",MAX(0,IF($F808="Margem",$D808-$E808,$D808))*$G808)</f>
        <v/>
      </c>
    </row>
    <row r="809" ht="15" customHeight="1" s="79">
      <c r="A809" s="78">
        <f>IF('Importar Reservas'!A801="","",'Importar Reservas'!A801)</f>
        <v/>
      </c>
      <c r="B809" s="78">
        <f>IF($A809="","",'Importar Reservas'!B801)</f>
        <v/>
      </c>
      <c r="C809" s="78">
        <f>IF($A809="","",'Importar Reservas'!Z801)</f>
        <v/>
      </c>
      <c r="D809" s="78">
        <f>IF($A809="","",IF('Importar Reservas'!O801="",0,'Importar Reservas'!O801))</f>
        <v/>
      </c>
      <c r="E809" s="78">
        <f>IF($A809="","",IF('Importar Reservas'!N801="",0,'Importar Reservas'!N801))</f>
        <v/>
      </c>
      <c r="F809" s="78">
        <f>IF($A809="","",IFERROR(INDEX(Configurações!$C$5:$C$100,MATCH($C809,Configurações!$A$5:$A$100,0)),"Margem"))</f>
        <v/>
      </c>
      <c r="G809" s="78">
        <f>IF($A809="","",IFERROR(INDEX(Configurações!$B$5:$B$100,MATCH($C809,Configurações!$A$5:$A$100,0)),0))</f>
        <v/>
      </c>
      <c r="H809" s="78">
        <f>IF(OR($A809="",'Importar Reservas'!M801&lt;&gt;"Aprovado",$D809&lt;=0),"",MAX(0,IF($F809="Margem",$D809-$E809,$D809))*$G809)</f>
        <v/>
      </c>
    </row>
    <row r="810" ht="15" customHeight="1" s="79">
      <c r="A810" s="78">
        <f>IF('Importar Reservas'!A802="","",'Importar Reservas'!A802)</f>
        <v/>
      </c>
      <c r="B810" s="78">
        <f>IF($A810="","",'Importar Reservas'!B802)</f>
        <v/>
      </c>
      <c r="C810" s="78">
        <f>IF($A810="","",'Importar Reservas'!Z802)</f>
        <v/>
      </c>
      <c r="D810" s="78">
        <f>IF($A810="","",IF('Importar Reservas'!O802="",0,'Importar Reservas'!O802))</f>
        <v/>
      </c>
      <c r="E810" s="78">
        <f>IF($A810="","",IF('Importar Reservas'!N802="",0,'Importar Reservas'!N802))</f>
        <v/>
      </c>
      <c r="F810" s="78">
        <f>IF($A810="","",IFERROR(INDEX(Configurações!$C$5:$C$100,MATCH($C810,Configurações!$A$5:$A$100,0)),"Margem"))</f>
        <v/>
      </c>
      <c r="G810" s="78">
        <f>IF($A810="","",IFERROR(INDEX(Configurações!$B$5:$B$100,MATCH($C810,Configurações!$A$5:$A$100,0)),0))</f>
        <v/>
      </c>
      <c r="H810" s="78">
        <f>IF(OR($A810="",'Importar Reservas'!M802&lt;&gt;"Aprovado",$D810&lt;=0),"",MAX(0,IF($F810="Margem",$D810-$E810,$D810))*$G810)</f>
        <v/>
      </c>
    </row>
    <row r="811" ht="15" customHeight="1" s="79">
      <c r="A811" s="78">
        <f>IF('Importar Reservas'!A803="","",'Importar Reservas'!A803)</f>
        <v/>
      </c>
      <c r="B811" s="78">
        <f>IF($A811="","",'Importar Reservas'!B803)</f>
        <v/>
      </c>
      <c r="C811" s="78">
        <f>IF($A811="","",'Importar Reservas'!Z803)</f>
        <v/>
      </c>
      <c r="D811" s="78">
        <f>IF($A811="","",IF('Importar Reservas'!O803="",0,'Importar Reservas'!O803))</f>
        <v/>
      </c>
      <c r="E811" s="78">
        <f>IF($A811="","",IF('Importar Reservas'!N803="",0,'Importar Reservas'!N803))</f>
        <v/>
      </c>
      <c r="F811" s="78">
        <f>IF($A811="","",IFERROR(INDEX(Configurações!$C$5:$C$100,MATCH($C811,Configurações!$A$5:$A$100,0)),"Margem"))</f>
        <v/>
      </c>
      <c r="G811" s="78">
        <f>IF($A811="","",IFERROR(INDEX(Configurações!$B$5:$B$100,MATCH($C811,Configurações!$A$5:$A$100,0)),0))</f>
        <v/>
      </c>
      <c r="H811" s="78">
        <f>IF(OR($A811="",'Importar Reservas'!M803&lt;&gt;"Aprovado",$D811&lt;=0),"",MAX(0,IF($F811="Margem",$D811-$E811,$D811))*$G811)</f>
        <v/>
      </c>
    </row>
    <row r="812" ht="15" customHeight="1" s="79">
      <c r="A812" s="78">
        <f>IF('Importar Reservas'!A804="","",'Importar Reservas'!A804)</f>
        <v/>
      </c>
      <c r="B812" s="78">
        <f>IF($A812="","",'Importar Reservas'!B804)</f>
        <v/>
      </c>
      <c r="C812" s="78">
        <f>IF($A812="","",'Importar Reservas'!Z804)</f>
        <v/>
      </c>
      <c r="D812" s="78">
        <f>IF($A812="","",IF('Importar Reservas'!O804="",0,'Importar Reservas'!O804))</f>
        <v/>
      </c>
      <c r="E812" s="78">
        <f>IF($A812="","",IF('Importar Reservas'!N804="",0,'Importar Reservas'!N804))</f>
        <v/>
      </c>
      <c r="F812" s="78">
        <f>IF($A812="","",IFERROR(INDEX(Configurações!$C$5:$C$100,MATCH($C812,Configurações!$A$5:$A$100,0)),"Margem"))</f>
        <v/>
      </c>
      <c r="G812" s="78">
        <f>IF($A812="","",IFERROR(INDEX(Configurações!$B$5:$B$100,MATCH($C812,Configurações!$A$5:$A$100,0)),0))</f>
        <v/>
      </c>
      <c r="H812" s="78">
        <f>IF(OR($A812="",'Importar Reservas'!M804&lt;&gt;"Aprovado",$D812&lt;=0),"",MAX(0,IF($F812="Margem",$D812-$E812,$D812))*$G812)</f>
        <v/>
      </c>
    </row>
    <row r="813" ht="15" customHeight="1" s="79">
      <c r="A813" s="78">
        <f>IF('Importar Reservas'!A805="","",'Importar Reservas'!A805)</f>
        <v/>
      </c>
      <c r="B813" s="78">
        <f>IF($A813="","",'Importar Reservas'!B805)</f>
        <v/>
      </c>
      <c r="C813" s="78">
        <f>IF($A813="","",'Importar Reservas'!Z805)</f>
        <v/>
      </c>
      <c r="D813" s="78">
        <f>IF($A813="","",IF('Importar Reservas'!O805="",0,'Importar Reservas'!O805))</f>
        <v/>
      </c>
      <c r="E813" s="78">
        <f>IF($A813="","",IF('Importar Reservas'!N805="",0,'Importar Reservas'!N805))</f>
        <v/>
      </c>
      <c r="F813" s="78">
        <f>IF($A813="","",IFERROR(INDEX(Configurações!$C$5:$C$100,MATCH($C813,Configurações!$A$5:$A$100,0)),"Margem"))</f>
        <v/>
      </c>
      <c r="G813" s="78">
        <f>IF($A813="","",IFERROR(INDEX(Configurações!$B$5:$B$100,MATCH($C813,Configurações!$A$5:$A$100,0)),0))</f>
        <v/>
      </c>
      <c r="H813" s="78">
        <f>IF(OR($A813="",'Importar Reservas'!M805&lt;&gt;"Aprovado",$D813&lt;=0),"",MAX(0,IF($F813="Margem",$D813-$E813,$D813))*$G813)</f>
        <v/>
      </c>
    </row>
    <row r="814" ht="15" customHeight="1" s="79">
      <c r="A814" s="78">
        <f>IF('Importar Reservas'!A806="","",'Importar Reservas'!A806)</f>
        <v/>
      </c>
      <c r="B814" s="78">
        <f>IF($A814="","",'Importar Reservas'!B806)</f>
        <v/>
      </c>
      <c r="C814" s="78">
        <f>IF($A814="","",'Importar Reservas'!Z806)</f>
        <v/>
      </c>
      <c r="D814" s="78">
        <f>IF($A814="","",IF('Importar Reservas'!O806="",0,'Importar Reservas'!O806))</f>
        <v/>
      </c>
      <c r="E814" s="78">
        <f>IF($A814="","",IF('Importar Reservas'!N806="",0,'Importar Reservas'!N806))</f>
        <v/>
      </c>
      <c r="F814" s="78">
        <f>IF($A814="","",IFERROR(INDEX(Configurações!$C$5:$C$100,MATCH($C814,Configurações!$A$5:$A$100,0)),"Margem"))</f>
        <v/>
      </c>
      <c r="G814" s="78">
        <f>IF($A814="","",IFERROR(INDEX(Configurações!$B$5:$B$100,MATCH($C814,Configurações!$A$5:$A$100,0)),0))</f>
        <v/>
      </c>
      <c r="H814" s="78">
        <f>IF(OR($A814="",'Importar Reservas'!M806&lt;&gt;"Aprovado",$D814&lt;=0),"",MAX(0,IF($F814="Margem",$D814-$E814,$D814))*$G814)</f>
        <v/>
      </c>
    </row>
    <row r="815" ht="15" customHeight="1" s="79">
      <c r="A815" s="78">
        <f>IF('Importar Reservas'!A807="","",'Importar Reservas'!A807)</f>
        <v/>
      </c>
      <c r="B815" s="78">
        <f>IF($A815="","",'Importar Reservas'!B807)</f>
        <v/>
      </c>
      <c r="C815" s="78">
        <f>IF($A815="","",'Importar Reservas'!Z807)</f>
        <v/>
      </c>
      <c r="D815" s="78">
        <f>IF($A815="","",IF('Importar Reservas'!O807="",0,'Importar Reservas'!O807))</f>
        <v/>
      </c>
      <c r="E815" s="78">
        <f>IF($A815="","",IF('Importar Reservas'!N807="",0,'Importar Reservas'!N807))</f>
        <v/>
      </c>
      <c r="F815" s="78">
        <f>IF($A815="","",IFERROR(INDEX(Configurações!$C$5:$C$100,MATCH($C815,Configurações!$A$5:$A$100,0)),"Margem"))</f>
        <v/>
      </c>
      <c r="G815" s="78">
        <f>IF($A815="","",IFERROR(INDEX(Configurações!$B$5:$B$100,MATCH($C815,Configurações!$A$5:$A$100,0)),0))</f>
        <v/>
      </c>
      <c r="H815" s="78">
        <f>IF(OR($A815="",'Importar Reservas'!M807&lt;&gt;"Aprovado",$D815&lt;=0),"",MAX(0,IF($F815="Margem",$D815-$E815,$D815))*$G815)</f>
        <v/>
      </c>
    </row>
    <row r="816" ht="15" customHeight="1" s="79">
      <c r="A816" s="78">
        <f>IF('Importar Reservas'!A808="","",'Importar Reservas'!A808)</f>
        <v/>
      </c>
      <c r="B816" s="78">
        <f>IF($A816="","",'Importar Reservas'!B808)</f>
        <v/>
      </c>
      <c r="C816" s="78">
        <f>IF($A816="","",'Importar Reservas'!Z808)</f>
        <v/>
      </c>
      <c r="D816" s="78">
        <f>IF($A816="","",IF('Importar Reservas'!O808="",0,'Importar Reservas'!O808))</f>
        <v/>
      </c>
      <c r="E816" s="78">
        <f>IF($A816="","",IF('Importar Reservas'!N808="",0,'Importar Reservas'!N808))</f>
        <v/>
      </c>
      <c r="F816" s="78">
        <f>IF($A816="","",IFERROR(INDEX(Configurações!$C$5:$C$100,MATCH($C816,Configurações!$A$5:$A$100,0)),"Margem"))</f>
        <v/>
      </c>
      <c r="G816" s="78">
        <f>IF($A816="","",IFERROR(INDEX(Configurações!$B$5:$B$100,MATCH($C816,Configurações!$A$5:$A$100,0)),0))</f>
        <v/>
      </c>
      <c r="H816" s="78">
        <f>IF(OR($A816="",'Importar Reservas'!M808&lt;&gt;"Aprovado",$D816&lt;=0),"",MAX(0,IF($F816="Margem",$D816-$E816,$D816))*$G816)</f>
        <v/>
      </c>
    </row>
    <row r="817" ht="15" customHeight="1" s="79">
      <c r="A817" s="78">
        <f>IF('Importar Reservas'!A809="","",'Importar Reservas'!A809)</f>
        <v/>
      </c>
      <c r="B817" s="78">
        <f>IF($A817="","",'Importar Reservas'!B809)</f>
        <v/>
      </c>
      <c r="C817" s="78">
        <f>IF($A817="","",'Importar Reservas'!Z809)</f>
        <v/>
      </c>
      <c r="D817" s="78">
        <f>IF($A817="","",IF('Importar Reservas'!O809="",0,'Importar Reservas'!O809))</f>
        <v/>
      </c>
      <c r="E817" s="78">
        <f>IF($A817="","",IF('Importar Reservas'!N809="",0,'Importar Reservas'!N809))</f>
        <v/>
      </c>
      <c r="F817" s="78">
        <f>IF($A817="","",IFERROR(INDEX(Configurações!$C$5:$C$100,MATCH($C817,Configurações!$A$5:$A$100,0)),"Margem"))</f>
        <v/>
      </c>
      <c r="G817" s="78">
        <f>IF($A817="","",IFERROR(INDEX(Configurações!$B$5:$B$100,MATCH($C817,Configurações!$A$5:$A$100,0)),0))</f>
        <v/>
      </c>
      <c r="H817" s="78">
        <f>IF(OR($A817="",'Importar Reservas'!M809&lt;&gt;"Aprovado",$D817&lt;=0),"",MAX(0,IF($F817="Margem",$D817-$E817,$D817))*$G817)</f>
        <v/>
      </c>
    </row>
    <row r="818" ht="15" customHeight="1" s="79">
      <c r="A818" s="78">
        <f>IF('Importar Reservas'!A810="","",'Importar Reservas'!A810)</f>
        <v/>
      </c>
      <c r="B818" s="78">
        <f>IF($A818="","",'Importar Reservas'!B810)</f>
        <v/>
      </c>
      <c r="C818" s="78">
        <f>IF($A818="","",'Importar Reservas'!Z810)</f>
        <v/>
      </c>
      <c r="D818" s="78">
        <f>IF($A818="","",IF('Importar Reservas'!O810="",0,'Importar Reservas'!O810))</f>
        <v/>
      </c>
      <c r="E818" s="78">
        <f>IF($A818="","",IF('Importar Reservas'!N810="",0,'Importar Reservas'!N810))</f>
        <v/>
      </c>
      <c r="F818" s="78">
        <f>IF($A818="","",IFERROR(INDEX(Configurações!$C$5:$C$100,MATCH($C818,Configurações!$A$5:$A$100,0)),"Margem"))</f>
        <v/>
      </c>
      <c r="G818" s="78">
        <f>IF($A818="","",IFERROR(INDEX(Configurações!$B$5:$B$100,MATCH($C818,Configurações!$A$5:$A$100,0)),0))</f>
        <v/>
      </c>
      <c r="H818" s="78">
        <f>IF(OR($A818="",'Importar Reservas'!M810&lt;&gt;"Aprovado",$D818&lt;=0),"",MAX(0,IF($F818="Margem",$D818-$E818,$D818))*$G818)</f>
        <v/>
      </c>
    </row>
    <row r="819" ht="15" customHeight="1" s="79">
      <c r="A819" s="78">
        <f>IF('Importar Reservas'!A811="","",'Importar Reservas'!A811)</f>
        <v/>
      </c>
      <c r="B819" s="78">
        <f>IF($A819="","",'Importar Reservas'!B811)</f>
        <v/>
      </c>
      <c r="C819" s="78">
        <f>IF($A819="","",'Importar Reservas'!Z811)</f>
        <v/>
      </c>
      <c r="D819" s="78">
        <f>IF($A819="","",IF('Importar Reservas'!O811="",0,'Importar Reservas'!O811))</f>
        <v/>
      </c>
      <c r="E819" s="78">
        <f>IF($A819="","",IF('Importar Reservas'!N811="",0,'Importar Reservas'!N811))</f>
        <v/>
      </c>
      <c r="F819" s="78">
        <f>IF($A819="","",IFERROR(INDEX(Configurações!$C$5:$C$100,MATCH($C819,Configurações!$A$5:$A$100,0)),"Margem"))</f>
        <v/>
      </c>
      <c r="G819" s="78">
        <f>IF($A819="","",IFERROR(INDEX(Configurações!$B$5:$B$100,MATCH($C819,Configurações!$A$5:$A$100,0)),0))</f>
        <v/>
      </c>
      <c r="H819" s="78">
        <f>IF(OR($A819="",'Importar Reservas'!M811&lt;&gt;"Aprovado",$D819&lt;=0),"",MAX(0,IF($F819="Margem",$D819-$E819,$D819))*$G819)</f>
        <v/>
      </c>
    </row>
    <row r="820" ht="15" customHeight="1" s="79">
      <c r="A820" s="78">
        <f>IF('Importar Reservas'!A812="","",'Importar Reservas'!A812)</f>
        <v/>
      </c>
      <c r="B820" s="78">
        <f>IF($A820="","",'Importar Reservas'!B812)</f>
        <v/>
      </c>
      <c r="C820" s="78">
        <f>IF($A820="","",'Importar Reservas'!Z812)</f>
        <v/>
      </c>
      <c r="D820" s="78">
        <f>IF($A820="","",IF('Importar Reservas'!O812="",0,'Importar Reservas'!O812))</f>
        <v/>
      </c>
      <c r="E820" s="78">
        <f>IF($A820="","",IF('Importar Reservas'!N812="",0,'Importar Reservas'!N812))</f>
        <v/>
      </c>
      <c r="F820" s="78">
        <f>IF($A820="","",IFERROR(INDEX(Configurações!$C$5:$C$100,MATCH($C820,Configurações!$A$5:$A$100,0)),"Margem"))</f>
        <v/>
      </c>
      <c r="G820" s="78">
        <f>IF($A820="","",IFERROR(INDEX(Configurações!$B$5:$B$100,MATCH($C820,Configurações!$A$5:$A$100,0)),0))</f>
        <v/>
      </c>
      <c r="H820" s="78">
        <f>IF(OR($A820="",'Importar Reservas'!M812&lt;&gt;"Aprovado",$D820&lt;=0),"",MAX(0,IF($F820="Margem",$D820-$E820,$D820))*$G820)</f>
        <v/>
      </c>
    </row>
    <row r="821" ht="15" customHeight="1" s="79">
      <c r="A821" s="78">
        <f>IF('Importar Reservas'!A813="","",'Importar Reservas'!A813)</f>
        <v/>
      </c>
      <c r="B821" s="78">
        <f>IF($A821="","",'Importar Reservas'!B813)</f>
        <v/>
      </c>
      <c r="C821" s="78">
        <f>IF($A821="","",'Importar Reservas'!Z813)</f>
        <v/>
      </c>
      <c r="D821" s="78">
        <f>IF($A821="","",IF('Importar Reservas'!O813="",0,'Importar Reservas'!O813))</f>
        <v/>
      </c>
      <c r="E821" s="78">
        <f>IF($A821="","",IF('Importar Reservas'!N813="",0,'Importar Reservas'!N813))</f>
        <v/>
      </c>
      <c r="F821" s="78">
        <f>IF($A821="","",IFERROR(INDEX(Configurações!$C$5:$C$100,MATCH($C821,Configurações!$A$5:$A$100,0)),"Margem"))</f>
        <v/>
      </c>
      <c r="G821" s="78">
        <f>IF($A821="","",IFERROR(INDEX(Configurações!$B$5:$B$100,MATCH($C821,Configurações!$A$5:$A$100,0)),0))</f>
        <v/>
      </c>
      <c r="H821" s="78">
        <f>IF(OR($A821="",'Importar Reservas'!M813&lt;&gt;"Aprovado",$D821&lt;=0),"",MAX(0,IF($F821="Margem",$D821-$E821,$D821))*$G821)</f>
        <v/>
      </c>
    </row>
    <row r="822" ht="15" customHeight="1" s="79">
      <c r="A822" s="78">
        <f>IF('Importar Reservas'!A814="","",'Importar Reservas'!A814)</f>
        <v/>
      </c>
      <c r="B822" s="78">
        <f>IF($A822="","",'Importar Reservas'!B814)</f>
        <v/>
      </c>
      <c r="C822" s="78">
        <f>IF($A822="","",'Importar Reservas'!Z814)</f>
        <v/>
      </c>
      <c r="D822" s="78">
        <f>IF($A822="","",IF('Importar Reservas'!O814="",0,'Importar Reservas'!O814))</f>
        <v/>
      </c>
      <c r="E822" s="78">
        <f>IF($A822="","",IF('Importar Reservas'!N814="",0,'Importar Reservas'!N814))</f>
        <v/>
      </c>
      <c r="F822" s="78">
        <f>IF($A822="","",IFERROR(INDEX(Configurações!$C$5:$C$100,MATCH($C822,Configurações!$A$5:$A$100,0)),"Margem"))</f>
        <v/>
      </c>
      <c r="G822" s="78">
        <f>IF($A822="","",IFERROR(INDEX(Configurações!$B$5:$B$100,MATCH($C822,Configurações!$A$5:$A$100,0)),0))</f>
        <v/>
      </c>
      <c r="H822" s="78">
        <f>IF(OR($A822="",'Importar Reservas'!M814&lt;&gt;"Aprovado",$D822&lt;=0),"",MAX(0,IF($F822="Margem",$D822-$E822,$D822))*$G822)</f>
        <v/>
      </c>
    </row>
    <row r="823" ht="15" customHeight="1" s="79">
      <c r="A823" s="78">
        <f>IF('Importar Reservas'!A815="","",'Importar Reservas'!A815)</f>
        <v/>
      </c>
      <c r="B823" s="78">
        <f>IF($A823="","",'Importar Reservas'!B815)</f>
        <v/>
      </c>
      <c r="C823" s="78">
        <f>IF($A823="","",'Importar Reservas'!Z815)</f>
        <v/>
      </c>
      <c r="D823" s="78">
        <f>IF($A823="","",IF('Importar Reservas'!O815="",0,'Importar Reservas'!O815))</f>
        <v/>
      </c>
      <c r="E823" s="78">
        <f>IF($A823="","",IF('Importar Reservas'!N815="",0,'Importar Reservas'!N815))</f>
        <v/>
      </c>
      <c r="F823" s="78">
        <f>IF($A823="","",IFERROR(INDEX(Configurações!$C$5:$C$100,MATCH($C823,Configurações!$A$5:$A$100,0)),"Margem"))</f>
        <v/>
      </c>
      <c r="G823" s="78">
        <f>IF($A823="","",IFERROR(INDEX(Configurações!$B$5:$B$100,MATCH($C823,Configurações!$A$5:$A$100,0)),0))</f>
        <v/>
      </c>
      <c r="H823" s="78">
        <f>IF(OR($A823="",'Importar Reservas'!M815&lt;&gt;"Aprovado",$D823&lt;=0),"",MAX(0,IF($F823="Margem",$D823-$E823,$D823))*$G823)</f>
        <v/>
      </c>
    </row>
    <row r="824" ht="15" customHeight="1" s="79">
      <c r="A824" s="78">
        <f>IF('Importar Reservas'!A816="","",'Importar Reservas'!A816)</f>
        <v/>
      </c>
      <c r="B824" s="78">
        <f>IF($A824="","",'Importar Reservas'!B816)</f>
        <v/>
      </c>
      <c r="C824" s="78">
        <f>IF($A824="","",'Importar Reservas'!Z816)</f>
        <v/>
      </c>
      <c r="D824" s="78">
        <f>IF($A824="","",IF('Importar Reservas'!O816="",0,'Importar Reservas'!O816))</f>
        <v/>
      </c>
      <c r="E824" s="78">
        <f>IF($A824="","",IF('Importar Reservas'!N816="",0,'Importar Reservas'!N816))</f>
        <v/>
      </c>
      <c r="F824" s="78">
        <f>IF($A824="","",IFERROR(INDEX(Configurações!$C$5:$C$100,MATCH($C824,Configurações!$A$5:$A$100,0)),"Margem"))</f>
        <v/>
      </c>
      <c r="G824" s="78">
        <f>IF($A824="","",IFERROR(INDEX(Configurações!$B$5:$B$100,MATCH($C824,Configurações!$A$5:$A$100,0)),0))</f>
        <v/>
      </c>
      <c r="H824" s="78">
        <f>IF(OR($A824="",'Importar Reservas'!M816&lt;&gt;"Aprovado",$D824&lt;=0),"",MAX(0,IF($F824="Margem",$D824-$E824,$D824))*$G824)</f>
        <v/>
      </c>
    </row>
    <row r="825" ht="15" customHeight="1" s="79">
      <c r="A825" s="78">
        <f>IF('Importar Reservas'!A817="","",'Importar Reservas'!A817)</f>
        <v/>
      </c>
      <c r="B825" s="78">
        <f>IF($A825="","",'Importar Reservas'!B817)</f>
        <v/>
      </c>
      <c r="C825" s="78">
        <f>IF($A825="","",'Importar Reservas'!Z817)</f>
        <v/>
      </c>
      <c r="D825" s="78">
        <f>IF($A825="","",IF('Importar Reservas'!O817="",0,'Importar Reservas'!O817))</f>
        <v/>
      </c>
      <c r="E825" s="78">
        <f>IF($A825="","",IF('Importar Reservas'!N817="",0,'Importar Reservas'!N817))</f>
        <v/>
      </c>
      <c r="F825" s="78">
        <f>IF($A825="","",IFERROR(INDEX(Configurações!$C$5:$C$100,MATCH($C825,Configurações!$A$5:$A$100,0)),"Margem"))</f>
        <v/>
      </c>
      <c r="G825" s="78">
        <f>IF($A825="","",IFERROR(INDEX(Configurações!$B$5:$B$100,MATCH($C825,Configurações!$A$5:$A$100,0)),0))</f>
        <v/>
      </c>
      <c r="H825" s="78">
        <f>IF(OR($A825="",'Importar Reservas'!M817&lt;&gt;"Aprovado",$D825&lt;=0),"",MAX(0,IF($F825="Margem",$D825-$E825,$D825))*$G825)</f>
        <v/>
      </c>
    </row>
    <row r="826" ht="15" customHeight="1" s="79">
      <c r="A826" s="78">
        <f>IF('Importar Reservas'!A818="","",'Importar Reservas'!A818)</f>
        <v/>
      </c>
      <c r="B826" s="78">
        <f>IF($A826="","",'Importar Reservas'!B818)</f>
        <v/>
      </c>
      <c r="C826" s="78">
        <f>IF($A826="","",'Importar Reservas'!Z818)</f>
        <v/>
      </c>
      <c r="D826" s="78">
        <f>IF($A826="","",IF('Importar Reservas'!O818="",0,'Importar Reservas'!O818))</f>
        <v/>
      </c>
      <c r="E826" s="78">
        <f>IF($A826="","",IF('Importar Reservas'!N818="",0,'Importar Reservas'!N818))</f>
        <v/>
      </c>
      <c r="F826" s="78">
        <f>IF($A826="","",IFERROR(INDEX(Configurações!$C$5:$C$100,MATCH($C826,Configurações!$A$5:$A$100,0)),"Margem"))</f>
        <v/>
      </c>
      <c r="G826" s="78">
        <f>IF($A826="","",IFERROR(INDEX(Configurações!$B$5:$B$100,MATCH($C826,Configurações!$A$5:$A$100,0)),0))</f>
        <v/>
      </c>
      <c r="H826" s="78">
        <f>IF(OR($A826="",'Importar Reservas'!M818&lt;&gt;"Aprovado",$D826&lt;=0),"",MAX(0,IF($F826="Margem",$D826-$E826,$D826))*$G826)</f>
        <v/>
      </c>
    </row>
    <row r="827" ht="15" customHeight="1" s="79">
      <c r="A827" s="78">
        <f>IF('Importar Reservas'!A819="","",'Importar Reservas'!A819)</f>
        <v/>
      </c>
      <c r="B827" s="78">
        <f>IF($A827="","",'Importar Reservas'!B819)</f>
        <v/>
      </c>
      <c r="C827" s="78">
        <f>IF($A827="","",'Importar Reservas'!Z819)</f>
        <v/>
      </c>
      <c r="D827" s="78">
        <f>IF($A827="","",IF('Importar Reservas'!O819="",0,'Importar Reservas'!O819))</f>
        <v/>
      </c>
      <c r="E827" s="78">
        <f>IF($A827="","",IF('Importar Reservas'!N819="",0,'Importar Reservas'!N819))</f>
        <v/>
      </c>
      <c r="F827" s="78">
        <f>IF($A827="","",IFERROR(INDEX(Configurações!$C$5:$C$100,MATCH($C827,Configurações!$A$5:$A$100,0)),"Margem"))</f>
        <v/>
      </c>
      <c r="G827" s="78">
        <f>IF($A827="","",IFERROR(INDEX(Configurações!$B$5:$B$100,MATCH($C827,Configurações!$A$5:$A$100,0)),0))</f>
        <v/>
      </c>
      <c r="H827" s="78">
        <f>IF(OR($A827="",'Importar Reservas'!M819&lt;&gt;"Aprovado",$D827&lt;=0),"",MAX(0,IF($F827="Margem",$D827-$E827,$D827))*$G827)</f>
        <v/>
      </c>
    </row>
    <row r="828" ht="15" customHeight="1" s="79">
      <c r="A828" s="78">
        <f>IF('Importar Reservas'!A820="","",'Importar Reservas'!A820)</f>
        <v/>
      </c>
      <c r="B828" s="78">
        <f>IF($A828="","",'Importar Reservas'!B820)</f>
        <v/>
      </c>
      <c r="C828" s="78">
        <f>IF($A828="","",'Importar Reservas'!Z820)</f>
        <v/>
      </c>
      <c r="D828" s="78">
        <f>IF($A828="","",IF('Importar Reservas'!O820="",0,'Importar Reservas'!O820))</f>
        <v/>
      </c>
      <c r="E828" s="78">
        <f>IF($A828="","",IF('Importar Reservas'!N820="",0,'Importar Reservas'!N820))</f>
        <v/>
      </c>
      <c r="F828" s="78">
        <f>IF($A828="","",IFERROR(INDEX(Configurações!$C$5:$C$100,MATCH($C828,Configurações!$A$5:$A$100,0)),"Margem"))</f>
        <v/>
      </c>
      <c r="G828" s="78">
        <f>IF($A828="","",IFERROR(INDEX(Configurações!$B$5:$B$100,MATCH($C828,Configurações!$A$5:$A$100,0)),0))</f>
        <v/>
      </c>
      <c r="H828" s="78">
        <f>IF(OR($A828="",'Importar Reservas'!M820&lt;&gt;"Aprovado",$D828&lt;=0),"",MAX(0,IF($F828="Margem",$D828-$E828,$D828))*$G828)</f>
        <v/>
      </c>
    </row>
    <row r="829" ht="15" customHeight="1" s="79">
      <c r="A829" s="78">
        <f>IF('Importar Reservas'!A821="","",'Importar Reservas'!A821)</f>
        <v/>
      </c>
      <c r="B829" s="78">
        <f>IF($A829="","",'Importar Reservas'!B821)</f>
        <v/>
      </c>
      <c r="C829" s="78">
        <f>IF($A829="","",'Importar Reservas'!Z821)</f>
        <v/>
      </c>
      <c r="D829" s="78">
        <f>IF($A829="","",IF('Importar Reservas'!O821="",0,'Importar Reservas'!O821))</f>
        <v/>
      </c>
      <c r="E829" s="78">
        <f>IF($A829="","",IF('Importar Reservas'!N821="",0,'Importar Reservas'!N821))</f>
        <v/>
      </c>
      <c r="F829" s="78">
        <f>IF($A829="","",IFERROR(INDEX(Configurações!$C$5:$C$100,MATCH($C829,Configurações!$A$5:$A$100,0)),"Margem"))</f>
        <v/>
      </c>
      <c r="G829" s="78">
        <f>IF($A829="","",IFERROR(INDEX(Configurações!$B$5:$B$100,MATCH($C829,Configurações!$A$5:$A$100,0)),0))</f>
        <v/>
      </c>
      <c r="H829" s="78">
        <f>IF(OR($A829="",'Importar Reservas'!M821&lt;&gt;"Aprovado",$D829&lt;=0),"",MAX(0,IF($F829="Margem",$D829-$E829,$D829))*$G829)</f>
        <v/>
      </c>
    </row>
    <row r="830" ht="15" customHeight="1" s="79">
      <c r="A830" s="78">
        <f>IF('Importar Reservas'!A822="","",'Importar Reservas'!A822)</f>
        <v/>
      </c>
      <c r="B830" s="78">
        <f>IF($A830="","",'Importar Reservas'!B822)</f>
        <v/>
      </c>
      <c r="C830" s="78">
        <f>IF($A830="","",'Importar Reservas'!Z822)</f>
        <v/>
      </c>
      <c r="D830" s="78">
        <f>IF($A830="","",IF('Importar Reservas'!O822="",0,'Importar Reservas'!O822))</f>
        <v/>
      </c>
      <c r="E830" s="78">
        <f>IF($A830="","",IF('Importar Reservas'!N822="",0,'Importar Reservas'!N822))</f>
        <v/>
      </c>
      <c r="F830" s="78">
        <f>IF($A830="","",IFERROR(INDEX(Configurações!$C$5:$C$100,MATCH($C830,Configurações!$A$5:$A$100,0)),"Margem"))</f>
        <v/>
      </c>
      <c r="G830" s="78">
        <f>IF($A830="","",IFERROR(INDEX(Configurações!$B$5:$B$100,MATCH($C830,Configurações!$A$5:$A$100,0)),0))</f>
        <v/>
      </c>
      <c r="H830" s="78">
        <f>IF(OR($A830="",'Importar Reservas'!M822&lt;&gt;"Aprovado",$D830&lt;=0),"",MAX(0,IF($F830="Margem",$D830-$E830,$D830))*$G830)</f>
        <v/>
      </c>
    </row>
    <row r="831" ht="15" customHeight="1" s="79">
      <c r="A831" s="78">
        <f>IF('Importar Reservas'!A823="","",'Importar Reservas'!A823)</f>
        <v/>
      </c>
      <c r="B831" s="78">
        <f>IF($A831="","",'Importar Reservas'!B823)</f>
        <v/>
      </c>
      <c r="C831" s="78">
        <f>IF($A831="","",'Importar Reservas'!Z823)</f>
        <v/>
      </c>
      <c r="D831" s="78">
        <f>IF($A831="","",IF('Importar Reservas'!O823="",0,'Importar Reservas'!O823))</f>
        <v/>
      </c>
      <c r="E831" s="78">
        <f>IF($A831="","",IF('Importar Reservas'!N823="",0,'Importar Reservas'!N823))</f>
        <v/>
      </c>
      <c r="F831" s="78">
        <f>IF($A831="","",IFERROR(INDEX(Configurações!$C$5:$C$100,MATCH($C831,Configurações!$A$5:$A$100,0)),"Margem"))</f>
        <v/>
      </c>
      <c r="G831" s="78">
        <f>IF($A831="","",IFERROR(INDEX(Configurações!$B$5:$B$100,MATCH($C831,Configurações!$A$5:$A$100,0)),0))</f>
        <v/>
      </c>
      <c r="H831" s="78">
        <f>IF(OR($A831="",'Importar Reservas'!M823&lt;&gt;"Aprovado",$D831&lt;=0),"",MAX(0,IF($F831="Margem",$D831-$E831,$D831))*$G831)</f>
        <v/>
      </c>
    </row>
    <row r="832" ht="15" customHeight="1" s="79">
      <c r="A832" s="78">
        <f>IF('Importar Reservas'!A824="","",'Importar Reservas'!A824)</f>
        <v/>
      </c>
      <c r="B832" s="78">
        <f>IF($A832="","",'Importar Reservas'!B824)</f>
        <v/>
      </c>
      <c r="C832" s="78">
        <f>IF($A832="","",'Importar Reservas'!Z824)</f>
        <v/>
      </c>
      <c r="D832" s="78">
        <f>IF($A832="","",IF('Importar Reservas'!O824="",0,'Importar Reservas'!O824))</f>
        <v/>
      </c>
      <c r="E832" s="78">
        <f>IF($A832="","",IF('Importar Reservas'!N824="",0,'Importar Reservas'!N824))</f>
        <v/>
      </c>
      <c r="F832" s="78">
        <f>IF($A832="","",IFERROR(INDEX(Configurações!$C$5:$C$100,MATCH($C832,Configurações!$A$5:$A$100,0)),"Margem"))</f>
        <v/>
      </c>
      <c r="G832" s="78">
        <f>IF($A832="","",IFERROR(INDEX(Configurações!$B$5:$B$100,MATCH($C832,Configurações!$A$5:$A$100,0)),0))</f>
        <v/>
      </c>
      <c r="H832" s="78">
        <f>IF(OR($A832="",'Importar Reservas'!M824&lt;&gt;"Aprovado",$D832&lt;=0),"",MAX(0,IF($F832="Margem",$D832-$E832,$D832))*$G832)</f>
        <v/>
      </c>
    </row>
    <row r="833" ht="15" customHeight="1" s="79">
      <c r="A833" s="78">
        <f>IF('Importar Reservas'!A825="","",'Importar Reservas'!A825)</f>
        <v/>
      </c>
      <c r="B833" s="78">
        <f>IF($A833="","",'Importar Reservas'!B825)</f>
        <v/>
      </c>
      <c r="C833" s="78">
        <f>IF($A833="","",'Importar Reservas'!Z825)</f>
        <v/>
      </c>
      <c r="D833" s="78">
        <f>IF($A833="","",IF('Importar Reservas'!O825="",0,'Importar Reservas'!O825))</f>
        <v/>
      </c>
      <c r="E833" s="78">
        <f>IF($A833="","",IF('Importar Reservas'!N825="",0,'Importar Reservas'!N825))</f>
        <v/>
      </c>
      <c r="F833" s="78">
        <f>IF($A833="","",IFERROR(INDEX(Configurações!$C$5:$C$100,MATCH($C833,Configurações!$A$5:$A$100,0)),"Margem"))</f>
        <v/>
      </c>
      <c r="G833" s="78">
        <f>IF($A833="","",IFERROR(INDEX(Configurações!$B$5:$B$100,MATCH($C833,Configurações!$A$5:$A$100,0)),0))</f>
        <v/>
      </c>
      <c r="H833" s="78">
        <f>IF(OR($A833="",'Importar Reservas'!M825&lt;&gt;"Aprovado",$D833&lt;=0),"",MAX(0,IF($F833="Margem",$D833-$E833,$D833))*$G833)</f>
        <v/>
      </c>
    </row>
    <row r="834" ht="15" customHeight="1" s="79">
      <c r="A834" s="78">
        <f>IF('Importar Reservas'!A826="","",'Importar Reservas'!A826)</f>
        <v/>
      </c>
      <c r="B834" s="78">
        <f>IF($A834="","",'Importar Reservas'!B826)</f>
        <v/>
      </c>
      <c r="C834" s="78">
        <f>IF($A834="","",'Importar Reservas'!Z826)</f>
        <v/>
      </c>
      <c r="D834" s="78">
        <f>IF($A834="","",IF('Importar Reservas'!O826="",0,'Importar Reservas'!O826))</f>
        <v/>
      </c>
      <c r="E834" s="78">
        <f>IF($A834="","",IF('Importar Reservas'!N826="",0,'Importar Reservas'!N826))</f>
        <v/>
      </c>
      <c r="F834" s="78">
        <f>IF($A834="","",IFERROR(INDEX(Configurações!$C$5:$C$100,MATCH($C834,Configurações!$A$5:$A$100,0)),"Margem"))</f>
        <v/>
      </c>
      <c r="G834" s="78">
        <f>IF($A834="","",IFERROR(INDEX(Configurações!$B$5:$B$100,MATCH($C834,Configurações!$A$5:$A$100,0)),0))</f>
        <v/>
      </c>
      <c r="H834" s="78">
        <f>IF(OR($A834="",'Importar Reservas'!M826&lt;&gt;"Aprovado",$D834&lt;=0),"",MAX(0,IF($F834="Margem",$D834-$E834,$D834))*$G834)</f>
        <v/>
      </c>
    </row>
    <row r="835" ht="15" customHeight="1" s="79">
      <c r="A835" s="78">
        <f>IF('Importar Reservas'!A827="","",'Importar Reservas'!A827)</f>
        <v/>
      </c>
      <c r="B835" s="78">
        <f>IF($A835="","",'Importar Reservas'!B827)</f>
        <v/>
      </c>
      <c r="C835" s="78">
        <f>IF($A835="","",'Importar Reservas'!Z827)</f>
        <v/>
      </c>
      <c r="D835" s="78">
        <f>IF($A835="","",IF('Importar Reservas'!O827="",0,'Importar Reservas'!O827))</f>
        <v/>
      </c>
      <c r="E835" s="78">
        <f>IF($A835="","",IF('Importar Reservas'!N827="",0,'Importar Reservas'!N827))</f>
        <v/>
      </c>
      <c r="F835" s="78">
        <f>IF($A835="","",IFERROR(INDEX(Configurações!$C$5:$C$100,MATCH($C835,Configurações!$A$5:$A$100,0)),"Margem"))</f>
        <v/>
      </c>
      <c r="G835" s="78">
        <f>IF($A835="","",IFERROR(INDEX(Configurações!$B$5:$B$100,MATCH($C835,Configurações!$A$5:$A$100,0)),0))</f>
        <v/>
      </c>
      <c r="H835" s="78">
        <f>IF(OR($A835="",'Importar Reservas'!M827&lt;&gt;"Aprovado",$D835&lt;=0),"",MAX(0,IF($F835="Margem",$D835-$E835,$D835))*$G835)</f>
        <v/>
      </c>
    </row>
    <row r="836" ht="15" customHeight="1" s="79">
      <c r="A836" s="78">
        <f>IF('Importar Reservas'!A828="","",'Importar Reservas'!A828)</f>
        <v/>
      </c>
      <c r="B836" s="78">
        <f>IF($A836="","",'Importar Reservas'!B828)</f>
        <v/>
      </c>
      <c r="C836" s="78">
        <f>IF($A836="","",'Importar Reservas'!Z828)</f>
        <v/>
      </c>
      <c r="D836" s="78">
        <f>IF($A836="","",IF('Importar Reservas'!O828="",0,'Importar Reservas'!O828))</f>
        <v/>
      </c>
      <c r="E836" s="78">
        <f>IF($A836="","",IF('Importar Reservas'!N828="",0,'Importar Reservas'!N828))</f>
        <v/>
      </c>
      <c r="F836" s="78">
        <f>IF($A836="","",IFERROR(INDEX(Configurações!$C$5:$C$100,MATCH($C836,Configurações!$A$5:$A$100,0)),"Margem"))</f>
        <v/>
      </c>
      <c r="G836" s="78">
        <f>IF($A836="","",IFERROR(INDEX(Configurações!$B$5:$B$100,MATCH($C836,Configurações!$A$5:$A$100,0)),0))</f>
        <v/>
      </c>
      <c r="H836" s="78">
        <f>IF(OR($A836="",'Importar Reservas'!M828&lt;&gt;"Aprovado",$D836&lt;=0),"",MAX(0,IF($F836="Margem",$D836-$E836,$D836))*$G836)</f>
        <v/>
      </c>
    </row>
    <row r="837" ht="15" customHeight="1" s="79">
      <c r="A837" s="78">
        <f>IF('Importar Reservas'!A829="","",'Importar Reservas'!A829)</f>
        <v/>
      </c>
      <c r="B837" s="78">
        <f>IF($A837="","",'Importar Reservas'!B829)</f>
        <v/>
      </c>
      <c r="C837" s="78">
        <f>IF($A837="","",'Importar Reservas'!Z829)</f>
        <v/>
      </c>
      <c r="D837" s="78">
        <f>IF($A837="","",IF('Importar Reservas'!O829="",0,'Importar Reservas'!O829))</f>
        <v/>
      </c>
      <c r="E837" s="78">
        <f>IF($A837="","",IF('Importar Reservas'!N829="",0,'Importar Reservas'!N829))</f>
        <v/>
      </c>
      <c r="F837" s="78">
        <f>IF($A837="","",IFERROR(INDEX(Configurações!$C$5:$C$100,MATCH($C837,Configurações!$A$5:$A$100,0)),"Margem"))</f>
        <v/>
      </c>
      <c r="G837" s="78">
        <f>IF($A837="","",IFERROR(INDEX(Configurações!$B$5:$B$100,MATCH($C837,Configurações!$A$5:$A$100,0)),0))</f>
        <v/>
      </c>
      <c r="H837" s="78">
        <f>IF(OR($A837="",'Importar Reservas'!M829&lt;&gt;"Aprovado",$D837&lt;=0),"",MAX(0,IF($F837="Margem",$D837-$E837,$D837))*$G837)</f>
        <v/>
      </c>
    </row>
    <row r="838" ht="15" customHeight="1" s="79">
      <c r="A838" s="78">
        <f>IF('Importar Reservas'!A830="","",'Importar Reservas'!A830)</f>
        <v/>
      </c>
      <c r="B838" s="78">
        <f>IF($A838="","",'Importar Reservas'!B830)</f>
        <v/>
      </c>
      <c r="C838" s="78">
        <f>IF($A838="","",'Importar Reservas'!Z830)</f>
        <v/>
      </c>
      <c r="D838" s="78">
        <f>IF($A838="","",IF('Importar Reservas'!O830="",0,'Importar Reservas'!O830))</f>
        <v/>
      </c>
      <c r="E838" s="78">
        <f>IF($A838="","",IF('Importar Reservas'!N830="",0,'Importar Reservas'!N830))</f>
        <v/>
      </c>
      <c r="F838" s="78">
        <f>IF($A838="","",IFERROR(INDEX(Configurações!$C$5:$C$100,MATCH($C838,Configurações!$A$5:$A$100,0)),"Margem"))</f>
        <v/>
      </c>
      <c r="G838" s="78">
        <f>IF($A838="","",IFERROR(INDEX(Configurações!$B$5:$B$100,MATCH($C838,Configurações!$A$5:$A$100,0)),0))</f>
        <v/>
      </c>
      <c r="H838" s="78">
        <f>IF(OR($A838="",'Importar Reservas'!M830&lt;&gt;"Aprovado",$D838&lt;=0),"",MAX(0,IF($F838="Margem",$D838-$E838,$D838))*$G838)</f>
        <v/>
      </c>
    </row>
    <row r="839" ht="15" customHeight="1" s="79">
      <c r="A839" s="78">
        <f>IF('Importar Reservas'!A831="","",'Importar Reservas'!A831)</f>
        <v/>
      </c>
      <c r="B839" s="78">
        <f>IF($A839="","",'Importar Reservas'!B831)</f>
        <v/>
      </c>
      <c r="C839" s="78">
        <f>IF($A839="","",'Importar Reservas'!Z831)</f>
        <v/>
      </c>
      <c r="D839" s="78">
        <f>IF($A839="","",IF('Importar Reservas'!O831="",0,'Importar Reservas'!O831))</f>
        <v/>
      </c>
      <c r="E839" s="78">
        <f>IF($A839="","",IF('Importar Reservas'!N831="",0,'Importar Reservas'!N831))</f>
        <v/>
      </c>
      <c r="F839" s="78">
        <f>IF($A839="","",IFERROR(INDEX(Configurações!$C$5:$C$100,MATCH($C839,Configurações!$A$5:$A$100,0)),"Margem"))</f>
        <v/>
      </c>
      <c r="G839" s="78">
        <f>IF($A839="","",IFERROR(INDEX(Configurações!$B$5:$B$100,MATCH($C839,Configurações!$A$5:$A$100,0)),0))</f>
        <v/>
      </c>
      <c r="H839" s="78">
        <f>IF(OR($A839="",'Importar Reservas'!M831&lt;&gt;"Aprovado",$D839&lt;=0),"",MAX(0,IF($F839="Margem",$D839-$E839,$D839))*$G839)</f>
        <v/>
      </c>
    </row>
    <row r="840" ht="15" customHeight="1" s="79">
      <c r="A840" s="78">
        <f>IF('Importar Reservas'!A832="","",'Importar Reservas'!A832)</f>
        <v/>
      </c>
      <c r="B840" s="78">
        <f>IF($A840="","",'Importar Reservas'!B832)</f>
        <v/>
      </c>
      <c r="C840" s="78">
        <f>IF($A840="","",'Importar Reservas'!Z832)</f>
        <v/>
      </c>
      <c r="D840" s="78">
        <f>IF($A840="","",IF('Importar Reservas'!O832="",0,'Importar Reservas'!O832))</f>
        <v/>
      </c>
      <c r="E840" s="78">
        <f>IF($A840="","",IF('Importar Reservas'!N832="",0,'Importar Reservas'!N832))</f>
        <v/>
      </c>
      <c r="F840" s="78">
        <f>IF($A840="","",IFERROR(INDEX(Configurações!$C$5:$C$100,MATCH($C840,Configurações!$A$5:$A$100,0)),"Margem"))</f>
        <v/>
      </c>
      <c r="G840" s="78">
        <f>IF($A840="","",IFERROR(INDEX(Configurações!$B$5:$B$100,MATCH($C840,Configurações!$A$5:$A$100,0)),0))</f>
        <v/>
      </c>
      <c r="H840" s="78">
        <f>IF(OR($A840="",'Importar Reservas'!M832&lt;&gt;"Aprovado",$D840&lt;=0),"",MAX(0,IF($F840="Margem",$D840-$E840,$D840))*$G840)</f>
        <v/>
      </c>
    </row>
    <row r="841" ht="15" customHeight="1" s="79">
      <c r="A841" s="78">
        <f>IF('Importar Reservas'!A833="","",'Importar Reservas'!A833)</f>
        <v/>
      </c>
      <c r="B841" s="78">
        <f>IF($A841="","",'Importar Reservas'!B833)</f>
        <v/>
      </c>
      <c r="C841" s="78">
        <f>IF($A841="","",'Importar Reservas'!Z833)</f>
        <v/>
      </c>
      <c r="D841" s="78">
        <f>IF($A841="","",IF('Importar Reservas'!O833="",0,'Importar Reservas'!O833))</f>
        <v/>
      </c>
      <c r="E841" s="78">
        <f>IF($A841="","",IF('Importar Reservas'!N833="",0,'Importar Reservas'!N833))</f>
        <v/>
      </c>
      <c r="F841" s="78">
        <f>IF($A841="","",IFERROR(INDEX(Configurações!$C$5:$C$100,MATCH($C841,Configurações!$A$5:$A$100,0)),"Margem"))</f>
        <v/>
      </c>
      <c r="G841" s="78">
        <f>IF($A841="","",IFERROR(INDEX(Configurações!$B$5:$B$100,MATCH($C841,Configurações!$A$5:$A$100,0)),0))</f>
        <v/>
      </c>
      <c r="H841" s="78">
        <f>IF(OR($A841="",'Importar Reservas'!M833&lt;&gt;"Aprovado",$D841&lt;=0),"",MAX(0,IF($F841="Margem",$D841-$E841,$D841))*$G841)</f>
        <v/>
      </c>
    </row>
    <row r="842" ht="15" customHeight="1" s="79">
      <c r="A842" s="78">
        <f>IF('Importar Reservas'!A834="","",'Importar Reservas'!A834)</f>
        <v/>
      </c>
      <c r="B842" s="78">
        <f>IF($A842="","",'Importar Reservas'!B834)</f>
        <v/>
      </c>
      <c r="C842" s="78">
        <f>IF($A842="","",'Importar Reservas'!Z834)</f>
        <v/>
      </c>
      <c r="D842" s="78">
        <f>IF($A842="","",IF('Importar Reservas'!O834="",0,'Importar Reservas'!O834))</f>
        <v/>
      </c>
      <c r="E842" s="78">
        <f>IF($A842="","",IF('Importar Reservas'!N834="",0,'Importar Reservas'!N834))</f>
        <v/>
      </c>
      <c r="F842" s="78">
        <f>IF($A842="","",IFERROR(INDEX(Configurações!$C$5:$C$100,MATCH($C842,Configurações!$A$5:$A$100,0)),"Margem"))</f>
        <v/>
      </c>
      <c r="G842" s="78">
        <f>IF($A842="","",IFERROR(INDEX(Configurações!$B$5:$B$100,MATCH($C842,Configurações!$A$5:$A$100,0)),0))</f>
        <v/>
      </c>
      <c r="H842" s="78">
        <f>IF(OR($A842="",'Importar Reservas'!M834&lt;&gt;"Aprovado",$D842&lt;=0),"",MAX(0,IF($F842="Margem",$D842-$E842,$D842))*$G842)</f>
        <v/>
      </c>
    </row>
    <row r="843" ht="15" customHeight="1" s="79">
      <c r="A843" s="78">
        <f>IF('Importar Reservas'!A835="","",'Importar Reservas'!A835)</f>
        <v/>
      </c>
      <c r="B843" s="78">
        <f>IF($A843="","",'Importar Reservas'!B835)</f>
        <v/>
      </c>
      <c r="C843" s="78">
        <f>IF($A843="","",'Importar Reservas'!Z835)</f>
        <v/>
      </c>
      <c r="D843" s="78">
        <f>IF($A843="","",IF('Importar Reservas'!O835="",0,'Importar Reservas'!O835))</f>
        <v/>
      </c>
      <c r="E843" s="78">
        <f>IF($A843="","",IF('Importar Reservas'!N835="",0,'Importar Reservas'!N835))</f>
        <v/>
      </c>
      <c r="F843" s="78">
        <f>IF($A843="","",IFERROR(INDEX(Configurações!$C$5:$C$100,MATCH($C843,Configurações!$A$5:$A$100,0)),"Margem"))</f>
        <v/>
      </c>
      <c r="G843" s="78">
        <f>IF($A843="","",IFERROR(INDEX(Configurações!$B$5:$B$100,MATCH($C843,Configurações!$A$5:$A$100,0)),0))</f>
        <v/>
      </c>
      <c r="H843" s="78">
        <f>IF(OR($A843="",'Importar Reservas'!M835&lt;&gt;"Aprovado",$D843&lt;=0),"",MAX(0,IF($F843="Margem",$D843-$E843,$D843))*$G843)</f>
        <v/>
      </c>
    </row>
    <row r="844" ht="15" customHeight="1" s="79">
      <c r="A844" s="78">
        <f>IF('Importar Reservas'!A836="","",'Importar Reservas'!A836)</f>
        <v/>
      </c>
      <c r="B844" s="78">
        <f>IF($A844="","",'Importar Reservas'!B836)</f>
        <v/>
      </c>
      <c r="C844" s="78">
        <f>IF($A844="","",'Importar Reservas'!Z836)</f>
        <v/>
      </c>
      <c r="D844" s="78">
        <f>IF($A844="","",IF('Importar Reservas'!O836="",0,'Importar Reservas'!O836))</f>
        <v/>
      </c>
      <c r="E844" s="78">
        <f>IF($A844="","",IF('Importar Reservas'!N836="",0,'Importar Reservas'!N836))</f>
        <v/>
      </c>
      <c r="F844" s="78">
        <f>IF($A844="","",IFERROR(INDEX(Configurações!$C$5:$C$100,MATCH($C844,Configurações!$A$5:$A$100,0)),"Margem"))</f>
        <v/>
      </c>
      <c r="G844" s="78">
        <f>IF($A844="","",IFERROR(INDEX(Configurações!$B$5:$B$100,MATCH($C844,Configurações!$A$5:$A$100,0)),0))</f>
        <v/>
      </c>
      <c r="H844" s="78">
        <f>IF(OR($A844="",'Importar Reservas'!M836&lt;&gt;"Aprovado",$D844&lt;=0),"",MAX(0,IF($F844="Margem",$D844-$E844,$D844))*$G844)</f>
        <v/>
      </c>
    </row>
    <row r="845" ht="15" customHeight="1" s="79">
      <c r="A845" s="78">
        <f>IF('Importar Reservas'!A837="","",'Importar Reservas'!A837)</f>
        <v/>
      </c>
      <c r="B845" s="78">
        <f>IF($A845="","",'Importar Reservas'!B837)</f>
        <v/>
      </c>
      <c r="C845" s="78">
        <f>IF($A845="","",'Importar Reservas'!Z837)</f>
        <v/>
      </c>
      <c r="D845" s="78">
        <f>IF($A845="","",IF('Importar Reservas'!O837="",0,'Importar Reservas'!O837))</f>
        <v/>
      </c>
      <c r="E845" s="78">
        <f>IF($A845="","",IF('Importar Reservas'!N837="",0,'Importar Reservas'!N837))</f>
        <v/>
      </c>
      <c r="F845" s="78">
        <f>IF($A845="","",IFERROR(INDEX(Configurações!$C$5:$C$100,MATCH($C845,Configurações!$A$5:$A$100,0)),"Margem"))</f>
        <v/>
      </c>
      <c r="G845" s="78">
        <f>IF($A845="","",IFERROR(INDEX(Configurações!$B$5:$B$100,MATCH($C845,Configurações!$A$5:$A$100,0)),0))</f>
        <v/>
      </c>
      <c r="H845" s="78">
        <f>IF(OR($A845="",'Importar Reservas'!M837&lt;&gt;"Aprovado",$D845&lt;=0),"",MAX(0,IF($F845="Margem",$D845-$E845,$D845))*$G845)</f>
        <v/>
      </c>
    </row>
    <row r="846" ht="15" customHeight="1" s="79">
      <c r="A846" s="78">
        <f>IF('Importar Reservas'!A838="","",'Importar Reservas'!A838)</f>
        <v/>
      </c>
      <c r="B846" s="78">
        <f>IF($A846="","",'Importar Reservas'!B838)</f>
        <v/>
      </c>
      <c r="C846" s="78">
        <f>IF($A846="","",'Importar Reservas'!Z838)</f>
        <v/>
      </c>
      <c r="D846" s="78">
        <f>IF($A846="","",IF('Importar Reservas'!O838="",0,'Importar Reservas'!O838))</f>
        <v/>
      </c>
      <c r="E846" s="78">
        <f>IF($A846="","",IF('Importar Reservas'!N838="",0,'Importar Reservas'!N838))</f>
        <v/>
      </c>
      <c r="F846" s="78">
        <f>IF($A846="","",IFERROR(INDEX(Configurações!$C$5:$C$100,MATCH($C846,Configurações!$A$5:$A$100,0)),"Margem"))</f>
        <v/>
      </c>
      <c r="G846" s="78">
        <f>IF($A846="","",IFERROR(INDEX(Configurações!$B$5:$B$100,MATCH($C846,Configurações!$A$5:$A$100,0)),0))</f>
        <v/>
      </c>
      <c r="H846" s="78">
        <f>IF(OR($A846="",'Importar Reservas'!M838&lt;&gt;"Aprovado",$D846&lt;=0),"",MAX(0,IF($F846="Margem",$D846-$E846,$D846))*$G846)</f>
        <v/>
      </c>
    </row>
    <row r="847" ht="15" customHeight="1" s="79">
      <c r="A847" s="78">
        <f>IF('Importar Reservas'!A839="","",'Importar Reservas'!A839)</f>
        <v/>
      </c>
      <c r="B847" s="78">
        <f>IF($A847="","",'Importar Reservas'!B839)</f>
        <v/>
      </c>
      <c r="C847" s="78">
        <f>IF($A847="","",'Importar Reservas'!Z839)</f>
        <v/>
      </c>
      <c r="D847" s="78">
        <f>IF($A847="","",IF('Importar Reservas'!O839="",0,'Importar Reservas'!O839))</f>
        <v/>
      </c>
      <c r="E847" s="78">
        <f>IF($A847="","",IF('Importar Reservas'!N839="",0,'Importar Reservas'!N839))</f>
        <v/>
      </c>
      <c r="F847" s="78">
        <f>IF($A847="","",IFERROR(INDEX(Configurações!$C$5:$C$100,MATCH($C847,Configurações!$A$5:$A$100,0)),"Margem"))</f>
        <v/>
      </c>
      <c r="G847" s="78">
        <f>IF($A847="","",IFERROR(INDEX(Configurações!$B$5:$B$100,MATCH($C847,Configurações!$A$5:$A$100,0)),0))</f>
        <v/>
      </c>
      <c r="H847" s="78">
        <f>IF(OR($A847="",'Importar Reservas'!M839&lt;&gt;"Aprovado",$D847&lt;=0),"",MAX(0,IF($F847="Margem",$D847-$E847,$D847))*$G847)</f>
        <v/>
      </c>
    </row>
    <row r="848" ht="15" customHeight="1" s="79">
      <c r="A848" s="78">
        <f>IF('Importar Reservas'!A840="","",'Importar Reservas'!A840)</f>
        <v/>
      </c>
      <c r="B848" s="78">
        <f>IF($A848="","",'Importar Reservas'!B840)</f>
        <v/>
      </c>
      <c r="C848" s="78">
        <f>IF($A848="","",'Importar Reservas'!Z840)</f>
        <v/>
      </c>
      <c r="D848" s="78">
        <f>IF($A848="","",IF('Importar Reservas'!O840="",0,'Importar Reservas'!O840))</f>
        <v/>
      </c>
      <c r="E848" s="78">
        <f>IF($A848="","",IF('Importar Reservas'!N840="",0,'Importar Reservas'!N840))</f>
        <v/>
      </c>
      <c r="F848" s="78">
        <f>IF($A848="","",IFERROR(INDEX(Configurações!$C$5:$C$100,MATCH($C848,Configurações!$A$5:$A$100,0)),"Margem"))</f>
        <v/>
      </c>
      <c r="G848" s="78">
        <f>IF($A848="","",IFERROR(INDEX(Configurações!$B$5:$B$100,MATCH($C848,Configurações!$A$5:$A$100,0)),0))</f>
        <v/>
      </c>
      <c r="H848" s="78">
        <f>IF(OR($A848="",'Importar Reservas'!M840&lt;&gt;"Aprovado",$D848&lt;=0),"",MAX(0,IF($F848="Margem",$D848-$E848,$D848))*$G848)</f>
        <v/>
      </c>
    </row>
    <row r="849" ht="15" customHeight="1" s="79">
      <c r="A849" s="78">
        <f>IF('Importar Reservas'!A841="","",'Importar Reservas'!A841)</f>
        <v/>
      </c>
      <c r="B849" s="78">
        <f>IF($A849="","",'Importar Reservas'!B841)</f>
        <v/>
      </c>
      <c r="C849" s="78">
        <f>IF($A849="","",'Importar Reservas'!Z841)</f>
        <v/>
      </c>
      <c r="D849" s="78">
        <f>IF($A849="","",IF('Importar Reservas'!O841="",0,'Importar Reservas'!O841))</f>
        <v/>
      </c>
      <c r="E849" s="78">
        <f>IF($A849="","",IF('Importar Reservas'!N841="",0,'Importar Reservas'!N841))</f>
        <v/>
      </c>
      <c r="F849" s="78">
        <f>IF($A849="","",IFERROR(INDEX(Configurações!$C$5:$C$100,MATCH($C849,Configurações!$A$5:$A$100,0)),"Margem"))</f>
        <v/>
      </c>
      <c r="G849" s="78">
        <f>IF($A849="","",IFERROR(INDEX(Configurações!$B$5:$B$100,MATCH($C849,Configurações!$A$5:$A$100,0)),0))</f>
        <v/>
      </c>
      <c r="H849" s="78">
        <f>IF(OR($A849="",'Importar Reservas'!M841&lt;&gt;"Aprovado",$D849&lt;=0),"",MAX(0,IF($F849="Margem",$D849-$E849,$D849))*$G849)</f>
        <v/>
      </c>
    </row>
    <row r="850" ht="15" customHeight="1" s="79">
      <c r="A850" s="78">
        <f>IF('Importar Reservas'!A842="","",'Importar Reservas'!A842)</f>
        <v/>
      </c>
      <c r="B850" s="78">
        <f>IF($A850="","",'Importar Reservas'!B842)</f>
        <v/>
      </c>
      <c r="C850" s="78">
        <f>IF($A850="","",'Importar Reservas'!Z842)</f>
        <v/>
      </c>
      <c r="D850" s="78">
        <f>IF($A850="","",IF('Importar Reservas'!O842="",0,'Importar Reservas'!O842))</f>
        <v/>
      </c>
      <c r="E850" s="78">
        <f>IF($A850="","",IF('Importar Reservas'!N842="",0,'Importar Reservas'!N842))</f>
        <v/>
      </c>
      <c r="F850" s="78">
        <f>IF($A850="","",IFERROR(INDEX(Configurações!$C$5:$C$100,MATCH($C850,Configurações!$A$5:$A$100,0)),"Margem"))</f>
        <v/>
      </c>
      <c r="G850" s="78">
        <f>IF($A850="","",IFERROR(INDEX(Configurações!$B$5:$B$100,MATCH($C850,Configurações!$A$5:$A$100,0)),0))</f>
        <v/>
      </c>
      <c r="H850" s="78">
        <f>IF(OR($A850="",'Importar Reservas'!M842&lt;&gt;"Aprovado",$D850&lt;=0),"",MAX(0,IF($F850="Margem",$D850-$E850,$D850))*$G850)</f>
        <v/>
      </c>
    </row>
    <row r="851" ht="15" customHeight="1" s="79">
      <c r="A851" s="78">
        <f>IF('Importar Reservas'!A843="","",'Importar Reservas'!A843)</f>
        <v/>
      </c>
      <c r="B851" s="78">
        <f>IF($A851="","",'Importar Reservas'!B843)</f>
        <v/>
      </c>
      <c r="C851" s="78">
        <f>IF($A851="","",'Importar Reservas'!Z843)</f>
        <v/>
      </c>
      <c r="D851" s="78">
        <f>IF($A851="","",IF('Importar Reservas'!O843="",0,'Importar Reservas'!O843))</f>
        <v/>
      </c>
      <c r="E851" s="78">
        <f>IF($A851="","",IF('Importar Reservas'!N843="",0,'Importar Reservas'!N843))</f>
        <v/>
      </c>
      <c r="F851" s="78">
        <f>IF($A851="","",IFERROR(INDEX(Configurações!$C$5:$C$100,MATCH($C851,Configurações!$A$5:$A$100,0)),"Margem"))</f>
        <v/>
      </c>
      <c r="G851" s="78">
        <f>IF($A851="","",IFERROR(INDEX(Configurações!$B$5:$B$100,MATCH($C851,Configurações!$A$5:$A$100,0)),0))</f>
        <v/>
      </c>
      <c r="H851" s="78">
        <f>IF(OR($A851="",'Importar Reservas'!M843&lt;&gt;"Aprovado",$D851&lt;=0),"",MAX(0,IF($F851="Margem",$D851-$E851,$D851))*$G851)</f>
        <v/>
      </c>
    </row>
    <row r="852" ht="15" customHeight="1" s="79">
      <c r="A852" s="78">
        <f>IF('Importar Reservas'!A844="","",'Importar Reservas'!A844)</f>
        <v/>
      </c>
      <c r="B852" s="78">
        <f>IF($A852="","",'Importar Reservas'!B844)</f>
        <v/>
      </c>
      <c r="C852" s="78">
        <f>IF($A852="","",'Importar Reservas'!Z844)</f>
        <v/>
      </c>
      <c r="D852" s="78">
        <f>IF($A852="","",IF('Importar Reservas'!O844="",0,'Importar Reservas'!O844))</f>
        <v/>
      </c>
      <c r="E852" s="78">
        <f>IF($A852="","",IF('Importar Reservas'!N844="",0,'Importar Reservas'!N844))</f>
        <v/>
      </c>
      <c r="F852" s="78">
        <f>IF($A852="","",IFERROR(INDEX(Configurações!$C$5:$C$100,MATCH($C852,Configurações!$A$5:$A$100,0)),"Margem"))</f>
        <v/>
      </c>
      <c r="G852" s="78">
        <f>IF($A852="","",IFERROR(INDEX(Configurações!$B$5:$B$100,MATCH($C852,Configurações!$A$5:$A$100,0)),0))</f>
        <v/>
      </c>
      <c r="H852" s="78">
        <f>IF(OR($A852="",'Importar Reservas'!M844&lt;&gt;"Aprovado",$D852&lt;=0),"",MAX(0,IF($F852="Margem",$D852-$E852,$D852))*$G852)</f>
        <v/>
      </c>
    </row>
    <row r="853" ht="15" customHeight="1" s="79">
      <c r="A853" s="78">
        <f>IF('Importar Reservas'!A845="","",'Importar Reservas'!A845)</f>
        <v/>
      </c>
      <c r="B853" s="78">
        <f>IF($A853="","",'Importar Reservas'!B845)</f>
        <v/>
      </c>
      <c r="C853" s="78">
        <f>IF($A853="","",'Importar Reservas'!Z845)</f>
        <v/>
      </c>
      <c r="D853" s="78">
        <f>IF($A853="","",IF('Importar Reservas'!O845="",0,'Importar Reservas'!O845))</f>
        <v/>
      </c>
      <c r="E853" s="78">
        <f>IF($A853="","",IF('Importar Reservas'!N845="",0,'Importar Reservas'!N845))</f>
        <v/>
      </c>
      <c r="F853" s="78">
        <f>IF($A853="","",IFERROR(INDEX(Configurações!$C$5:$C$100,MATCH($C853,Configurações!$A$5:$A$100,0)),"Margem"))</f>
        <v/>
      </c>
      <c r="G853" s="78">
        <f>IF($A853="","",IFERROR(INDEX(Configurações!$B$5:$B$100,MATCH($C853,Configurações!$A$5:$A$100,0)),0))</f>
        <v/>
      </c>
      <c r="H853" s="78">
        <f>IF(OR($A853="",'Importar Reservas'!M845&lt;&gt;"Aprovado",$D853&lt;=0),"",MAX(0,IF($F853="Margem",$D853-$E853,$D853))*$G853)</f>
        <v/>
      </c>
    </row>
    <row r="854" ht="15" customHeight="1" s="79">
      <c r="A854" s="78">
        <f>IF('Importar Reservas'!A846="","",'Importar Reservas'!A846)</f>
        <v/>
      </c>
      <c r="B854" s="78">
        <f>IF($A854="","",'Importar Reservas'!B846)</f>
        <v/>
      </c>
      <c r="C854" s="78">
        <f>IF($A854="","",'Importar Reservas'!Z846)</f>
        <v/>
      </c>
      <c r="D854" s="78">
        <f>IF($A854="","",IF('Importar Reservas'!O846="",0,'Importar Reservas'!O846))</f>
        <v/>
      </c>
      <c r="E854" s="78">
        <f>IF($A854="","",IF('Importar Reservas'!N846="",0,'Importar Reservas'!N846))</f>
        <v/>
      </c>
      <c r="F854" s="78">
        <f>IF($A854="","",IFERROR(INDEX(Configurações!$C$5:$C$100,MATCH($C854,Configurações!$A$5:$A$100,0)),"Margem"))</f>
        <v/>
      </c>
      <c r="G854" s="78">
        <f>IF($A854="","",IFERROR(INDEX(Configurações!$B$5:$B$100,MATCH($C854,Configurações!$A$5:$A$100,0)),0))</f>
        <v/>
      </c>
      <c r="H854" s="78">
        <f>IF(OR($A854="",'Importar Reservas'!M846&lt;&gt;"Aprovado",$D854&lt;=0),"",MAX(0,IF($F854="Margem",$D854-$E854,$D854))*$G854)</f>
        <v/>
      </c>
    </row>
    <row r="855" ht="15" customHeight="1" s="79">
      <c r="A855" s="78">
        <f>IF('Importar Reservas'!A847="","",'Importar Reservas'!A847)</f>
        <v/>
      </c>
      <c r="B855" s="78">
        <f>IF($A855="","",'Importar Reservas'!B847)</f>
        <v/>
      </c>
      <c r="C855" s="78">
        <f>IF($A855="","",'Importar Reservas'!Z847)</f>
        <v/>
      </c>
      <c r="D855" s="78">
        <f>IF($A855="","",IF('Importar Reservas'!O847="",0,'Importar Reservas'!O847))</f>
        <v/>
      </c>
      <c r="E855" s="78">
        <f>IF($A855="","",IF('Importar Reservas'!N847="",0,'Importar Reservas'!N847))</f>
        <v/>
      </c>
      <c r="F855" s="78">
        <f>IF($A855="","",IFERROR(INDEX(Configurações!$C$5:$C$100,MATCH($C855,Configurações!$A$5:$A$100,0)),"Margem"))</f>
        <v/>
      </c>
      <c r="G855" s="78">
        <f>IF($A855="","",IFERROR(INDEX(Configurações!$B$5:$B$100,MATCH($C855,Configurações!$A$5:$A$100,0)),0))</f>
        <v/>
      </c>
      <c r="H855" s="78">
        <f>IF(OR($A855="",'Importar Reservas'!M847&lt;&gt;"Aprovado",$D855&lt;=0),"",MAX(0,IF($F855="Margem",$D855-$E855,$D855))*$G855)</f>
        <v/>
      </c>
    </row>
    <row r="856" ht="15" customHeight="1" s="79">
      <c r="A856" s="78">
        <f>IF('Importar Reservas'!A848="","",'Importar Reservas'!A848)</f>
        <v/>
      </c>
      <c r="B856" s="78">
        <f>IF($A856="","",'Importar Reservas'!B848)</f>
        <v/>
      </c>
      <c r="C856" s="78">
        <f>IF($A856="","",'Importar Reservas'!Z848)</f>
        <v/>
      </c>
      <c r="D856" s="78">
        <f>IF($A856="","",IF('Importar Reservas'!O848="",0,'Importar Reservas'!O848))</f>
        <v/>
      </c>
      <c r="E856" s="78">
        <f>IF($A856="","",IF('Importar Reservas'!N848="",0,'Importar Reservas'!N848))</f>
        <v/>
      </c>
      <c r="F856" s="78">
        <f>IF($A856="","",IFERROR(INDEX(Configurações!$C$5:$C$100,MATCH($C856,Configurações!$A$5:$A$100,0)),"Margem"))</f>
        <v/>
      </c>
      <c r="G856" s="78">
        <f>IF($A856="","",IFERROR(INDEX(Configurações!$B$5:$B$100,MATCH($C856,Configurações!$A$5:$A$100,0)),0))</f>
        <v/>
      </c>
      <c r="H856" s="78">
        <f>IF(OR($A856="",'Importar Reservas'!M848&lt;&gt;"Aprovado",$D856&lt;=0),"",MAX(0,IF($F856="Margem",$D856-$E856,$D856))*$G856)</f>
        <v/>
      </c>
    </row>
    <row r="857" ht="15" customHeight="1" s="79">
      <c r="A857" s="78">
        <f>IF('Importar Reservas'!A849="","",'Importar Reservas'!A849)</f>
        <v/>
      </c>
      <c r="B857" s="78">
        <f>IF($A857="","",'Importar Reservas'!B849)</f>
        <v/>
      </c>
      <c r="C857" s="78">
        <f>IF($A857="","",'Importar Reservas'!Z849)</f>
        <v/>
      </c>
      <c r="D857" s="78">
        <f>IF($A857="","",IF('Importar Reservas'!O849="",0,'Importar Reservas'!O849))</f>
        <v/>
      </c>
      <c r="E857" s="78">
        <f>IF($A857="","",IF('Importar Reservas'!N849="",0,'Importar Reservas'!N849))</f>
        <v/>
      </c>
      <c r="F857" s="78">
        <f>IF($A857="","",IFERROR(INDEX(Configurações!$C$5:$C$100,MATCH($C857,Configurações!$A$5:$A$100,0)),"Margem"))</f>
        <v/>
      </c>
      <c r="G857" s="78">
        <f>IF($A857="","",IFERROR(INDEX(Configurações!$B$5:$B$100,MATCH($C857,Configurações!$A$5:$A$100,0)),0))</f>
        <v/>
      </c>
      <c r="H857" s="78">
        <f>IF(OR($A857="",'Importar Reservas'!M849&lt;&gt;"Aprovado",$D857&lt;=0),"",MAX(0,IF($F857="Margem",$D857-$E857,$D857))*$G857)</f>
        <v/>
      </c>
    </row>
    <row r="858" ht="15" customHeight="1" s="79">
      <c r="A858" s="78">
        <f>IF('Importar Reservas'!A850="","",'Importar Reservas'!A850)</f>
        <v/>
      </c>
      <c r="B858" s="78">
        <f>IF($A858="","",'Importar Reservas'!B850)</f>
        <v/>
      </c>
      <c r="C858" s="78">
        <f>IF($A858="","",'Importar Reservas'!Z850)</f>
        <v/>
      </c>
      <c r="D858" s="78">
        <f>IF($A858="","",IF('Importar Reservas'!O850="",0,'Importar Reservas'!O850))</f>
        <v/>
      </c>
      <c r="E858" s="78">
        <f>IF($A858="","",IF('Importar Reservas'!N850="",0,'Importar Reservas'!N850))</f>
        <v/>
      </c>
      <c r="F858" s="78">
        <f>IF($A858="","",IFERROR(INDEX(Configurações!$C$5:$C$100,MATCH($C858,Configurações!$A$5:$A$100,0)),"Margem"))</f>
        <v/>
      </c>
      <c r="G858" s="78">
        <f>IF($A858="","",IFERROR(INDEX(Configurações!$B$5:$B$100,MATCH($C858,Configurações!$A$5:$A$100,0)),0))</f>
        <v/>
      </c>
      <c r="H858" s="78">
        <f>IF(OR($A858="",'Importar Reservas'!M850&lt;&gt;"Aprovado",$D858&lt;=0),"",MAX(0,IF($F858="Margem",$D858-$E858,$D858))*$G858)</f>
        <v/>
      </c>
    </row>
    <row r="859" ht="15" customHeight="1" s="79">
      <c r="A859" s="78">
        <f>IF('Importar Reservas'!A851="","",'Importar Reservas'!A851)</f>
        <v/>
      </c>
      <c r="B859" s="78">
        <f>IF($A859="","",'Importar Reservas'!B851)</f>
        <v/>
      </c>
      <c r="C859" s="78">
        <f>IF($A859="","",'Importar Reservas'!Z851)</f>
        <v/>
      </c>
      <c r="D859" s="78">
        <f>IF($A859="","",IF('Importar Reservas'!O851="",0,'Importar Reservas'!O851))</f>
        <v/>
      </c>
      <c r="E859" s="78">
        <f>IF($A859="","",IF('Importar Reservas'!N851="",0,'Importar Reservas'!N851))</f>
        <v/>
      </c>
      <c r="F859" s="78">
        <f>IF($A859="","",IFERROR(INDEX(Configurações!$C$5:$C$100,MATCH($C859,Configurações!$A$5:$A$100,0)),"Margem"))</f>
        <v/>
      </c>
      <c r="G859" s="78">
        <f>IF($A859="","",IFERROR(INDEX(Configurações!$B$5:$B$100,MATCH($C859,Configurações!$A$5:$A$100,0)),0))</f>
        <v/>
      </c>
      <c r="H859" s="78">
        <f>IF(OR($A859="",'Importar Reservas'!M851&lt;&gt;"Aprovado",$D859&lt;=0),"",MAX(0,IF($F859="Margem",$D859-$E859,$D859))*$G859)</f>
        <v/>
      </c>
    </row>
    <row r="860" ht="15" customHeight="1" s="79">
      <c r="A860" s="78">
        <f>IF('Importar Reservas'!A852="","",'Importar Reservas'!A852)</f>
        <v/>
      </c>
      <c r="B860" s="78">
        <f>IF($A860="","",'Importar Reservas'!B852)</f>
        <v/>
      </c>
      <c r="C860" s="78">
        <f>IF($A860="","",'Importar Reservas'!Z852)</f>
        <v/>
      </c>
      <c r="D860" s="78">
        <f>IF($A860="","",IF('Importar Reservas'!O852="",0,'Importar Reservas'!O852))</f>
        <v/>
      </c>
      <c r="E860" s="78">
        <f>IF($A860="","",IF('Importar Reservas'!N852="",0,'Importar Reservas'!N852))</f>
        <v/>
      </c>
      <c r="F860" s="78">
        <f>IF($A860="","",IFERROR(INDEX(Configurações!$C$5:$C$100,MATCH($C860,Configurações!$A$5:$A$100,0)),"Margem"))</f>
        <v/>
      </c>
      <c r="G860" s="78">
        <f>IF($A860="","",IFERROR(INDEX(Configurações!$B$5:$B$100,MATCH($C860,Configurações!$A$5:$A$100,0)),0))</f>
        <v/>
      </c>
      <c r="H860" s="78">
        <f>IF(OR($A860="",'Importar Reservas'!M852&lt;&gt;"Aprovado",$D860&lt;=0),"",MAX(0,IF($F860="Margem",$D860-$E860,$D860))*$G860)</f>
        <v/>
      </c>
    </row>
    <row r="861" ht="15" customHeight="1" s="79">
      <c r="A861" s="78">
        <f>IF('Importar Reservas'!A853="","",'Importar Reservas'!A853)</f>
        <v/>
      </c>
      <c r="B861" s="78">
        <f>IF($A861="","",'Importar Reservas'!B853)</f>
        <v/>
      </c>
      <c r="C861" s="78">
        <f>IF($A861="","",'Importar Reservas'!Z853)</f>
        <v/>
      </c>
      <c r="D861" s="78">
        <f>IF($A861="","",IF('Importar Reservas'!O853="",0,'Importar Reservas'!O853))</f>
        <v/>
      </c>
      <c r="E861" s="78">
        <f>IF($A861="","",IF('Importar Reservas'!N853="",0,'Importar Reservas'!N853))</f>
        <v/>
      </c>
      <c r="F861" s="78">
        <f>IF($A861="","",IFERROR(INDEX(Configurações!$C$5:$C$100,MATCH($C861,Configurações!$A$5:$A$100,0)),"Margem"))</f>
        <v/>
      </c>
      <c r="G861" s="78">
        <f>IF($A861="","",IFERROR(INDEX(Configurações!$B$5:$B$100,MATCH($C861,Configurações!$A$5:$A$100,0)),0))</f>
        <v/>
      </c>
      <c r="H861" s="78">
        <f>IF(OR($A861="",'Importar Reservas'!M853&lt;&gt;"Aprovado",$D861&lt;=0),"",MAX(0,IF($F861="Margem",$D861-$E861,$D861))*$G861)</f>
        <v/>
      </c>
    </row>
    <row r="862" ht="15" customHeight="1" s="79">
      <c r="A862" s="78">
        <f>IF('Importar Reservas'!A854="","",'Importar Reservas'!A854)</f>
        <v/>
      </c>
      <c r="B862" s="78">
        <f>IF($A862="","",'Importar Reservas'!B854)</f>
        <v/>
      </c>
      <c r="C862" s="78">
        <f>IF($A862="","",'Importar Reservas'!Z854)</f>
        <v/>
      </c>
      <c r="D862" s="78">
        <f>IF($A862="","",IF('Importar Reservas'!O854="",0,'Importar Reservas'!O854))</f>
        <v/>
      </c>
      <c r="E862" s="78">
        <f>IF($A862="","",IF('Importar Reservas'!N854="",0,'Importar Reservas'!N854))</f>
        <v/>
      </c>
      <c r="F862" s="78">
        <f>IF($A862="","",IFERROR(INDEX(Configurações!$C$5:$C$100,MATCH($C862,Configurações!$A$5:$A$100,0)),"Margem"))</f>
        <v/>
      </c>
      <c r="G862" s="78">
        <f>IF($A862="","",IFERROR(INDEX(Configurações!$B$5:$B$100,MATCH($C862,Configurações!$A$5:$A$100,0)),0))</f>
        <v/>
      </c>
      <c r="H862" s="78">
        <f>IF(OR($A862="",'Importar Reservas'!M854&lt;&gt;"Aprovado",$D862&lt;=0),"",MAX(0,IF($F862="Margem",$D862-$E862,$D862))*$G862)</f>
        <v/>
      </c>
    </row>
    <row r="863" ht="15" customHeight="1" s="79">
      <c r="A863" s="78">
        <f>IF('Importar Reservas'!A855="","",'Importar Reservas'!A855)</f>
        <v/>
      </c>
      <c r="B863" s="78">
        <f>IF($A863="","",'Importar Reservas'!B855)</f>
        <v/>
      </c>
      <c r="C863" s="78">
        <f>IF($A863="","",'Importar Reservas'!Z855)</f>
        <v/>
      </c>
      <c r="D863" s="78">
        <f>IF($A863="","",IF('Importar Reservas'!O855="",0,'Importar Reservas'!O855))</f>
        <v/>
      </c>
      <c r="E863" s="78">
        <f>IF($A863="","",IF('Importar Reservas'!N855="",0,'Importar Reservas'!N855))</f>
        <v/>
      </c>
      <c r="F863" s="78">
        <f>IF($A863="","",IFERROR(INDEX(Configurações!$C$5:$C$100,MATCH($C863,Configurações!$A$5:$A$100,0)),"Margem"))</f>
        <v/>
      </c>
      <c r="G863" s="78">
        <f>IF($A863="","",IFERROR(INDEX(Configurações!$B$5:$B$100,MATCH($C863,Configurações!$A$5:$A$100,0)),0))</f>
        <v/>
      </c>
      <c r="H863" s="78">
        <f>IF(OR($A863="",'Importar Reservas'!M855&lt;&gt;"Aprovado",$D863&lt;=0),"",MAX(0,IF($F863="Margem",$D863-$E863,$D863))*$G863)</f>
        <v/>
      </c>
    </row>
    <row r="864" ht="15" customHeight="1" s="79">
      <c r="A864" s="78">
        <f>IF('Importar Reservas'!A856="","",'Importar Reservas'!A856)</f>
        <v/>
      </c>
      <c r="B864" s="78">
        <f>IF($A864="","",'Importar Reservas'!B856)</f>
        <v/>
      </c>
      <c r="C864" s="78">
        <f>IF($A864="","",'Importar Reservas'!Z856)</f>
        <v/>
      </c>
      <c r="D864" s="78">
        <f>IF($A864="","",IF('Importar Reservas'!O856="",0,'Importar Reservas'!O856))</f>
        <v/>
      </c>
      <c r="E864" s="78">
        <f>IF($A864="","",IF('Importar Reservas'!N856="",0,'Importar Reservas'!N856))</f>
        <v/>
      </c>
      <c r="F864" s="78">
        <f>IF($A864="","",IFERROR(INDEX(Configurações!$C$5:$C$100,MATCH($C864,Configurações!$A$5:$A$100,0)),"Margem"))</f>
        <v/>
      </c>
      <c r="G864" s="78">
        <f>IF($A864="","",IFERROR(INDEX(Configurações!$B$5:$B$100,MATCH($C864,Configurações!$A$5:$A$100,0)),0))</f>
        <v/>
      </c>
      <c r="H864" s="78">
        <f>IF(OR($A864="",'Importar Reservas'!M856&lt;&gt;"Aprovado",$D864&lt;=0),"",MAX(0,IF($F864="Margem",$D864-$E864,$D864))*$G864)</f>
        <v/>
      </c>
    </row>
    <row r="865" ht="15" customHeight="1" s="79">
      <c r="A865" s="78">
        <f>IF('Importar Reservas'!A857="","",'Importar Reservas'!A857)</f>
        <v/>
      </c>
      <c r="B865" s="78">
        <f>IF($A865="","",'Importar Reservas'!B857)</f>
        <v/>
      </c>
      <c r="C865" s="78">
        <f>IF($A865="","",'Importar Reservas'!Z857)</f>
        <v/>
      </c>
      <c r="D865" s="78">
        <f>IF($A865="","",IF('Importar Reservas'!O857="",0,'Importar Reservas'!O857))</f>
        <v/>
      </c>
      <c r="E865" s="78">
        <f>IF($A865="","",IF('Importar Reservas'!N857="",0,'Importar Reservas'!N857))</f>
        <v/>
      </c>
      <c r="F865" s="78">
        <f>IF($A865="","",IFERROR(INDEX(Configurações!$C$5:$C$100,MATCH($C865,Configurações!$A$5:$A$100,0)),"Margem"))</f>
        <v/>
      </c>
      <c r="G865" s="78">
        <f>IF($A865="","",IFERROR(INDEX(Configurações!$B$5:$B$100,MATCH($C865,Configurações!$A$5:$A$100,0)),0))</f>
        <v/>
      </c>
      <c r="H865" s="78">
        <f>IF(OR($A865="",'Importar Reservas'!M857&lt;&gt;"Aprovado",$D865&lt;=0),"",MAX(0,IF($F865="Margem",$D865-$E865,$D865))*$G865)</f>
        <v/>
      </c>
    </row>
    <row r="866" ht="15" customHeight="1" s="79">
      <c r="A866" s="78">
        <f>IF('Importar Reservas'!A858="","",'Importar Reservas'!A858)</f>
        <v/>
      </c>
      <c r="B866" s="78">
        <f>IF($A866="","",'Importar Reservas'!B858)</f>
        <v/>
      </c>
      <c r="C866" s="78">
        <f>IF($A866="","",'Importar Reservas'!Z858)</f>
        <v/>
      </c>
      <c r="D866" s="78">
        <f>IF($A866="","",IF('Importar Reservas'!O858="",0,'Importar Reservas'!O858))</f>
        <v/>
      </c>
      <c r="E866" s="78">
        <f>IF($A866="","",IF('Importar Reservas'!N858="",0,'Importar Reservas'!N858))</f>
        <v/>
      </c>
      <c r="F866" s="78">
        <f>IF($A866="","",IFERROR(INDEX(Configurações!$C$5:$C$100,MATCH($C866,Configurações!$A$5:$A$100,0)),"Margem"))</f>
        <v/>
      </c>
      <c r="G866" s="78">
        <f>IF($A866="","",IFERROR(INDEX(Configurações!$B$5:$B$100,MATCH($C866,Configurações!$A$5:$A$100,0)),0))</f>
        <v/>
      </c>
      <c r="H866" s="78">
        <f>IF(OR($A866="",'Importar Reservas'!M858&lt;&gt;"Aprovado",$D866&lt;=0),"",MAX(0,IF($F866="Margem",$D866-$E866,$D866))*$G866)</f>
        <v/>
      </c>
    </row>
    <row r="867" ht="15" customHeight="1" s="79">
      <c r="A867" s="78">
        <f>IF('Importar Reservas'!A859="","",'Importar Reservas'!A859)</f>
        <v/>
      </c>
      <c r="B867" s="78">
        <f>IF($A867="","",'Importar Reservas'!B859)</f>
        <v/>
      </c>
      <c r="C867" s="78">
        <f>IF($A867="","",'Importar Reservas'!Z859)</f>
        <v/>
      </c>
      <c r="D867" s="78">
        <f>IF($A867="","",IF('Importar Reservas'!O859="",0,'Importar Reservas'!O859))</f>
        <v/>
      </c>
      <c r="E867" s="78">
        <f>IF($A867="","",IF('Importar Reservas'!N859="",0,'Importar Reservas'!N859))</f>
        <v/>
      </c>
      <c r="F867" s="78">
        <f>IF($A867="","",IFERROR(INDEX(Configurações!$C$5:$C$100,MATCH($C867,Configurações!$A$5:$A$100,0)),"Margem"))</f>
        <v/>
      </c>
      <c r="G867" s="78">
        <f>IF($A867="","",IFERROR(INDEX(Configurações!$B$5:$B$100,MATCH($C867,Configurações!$A$5:$A$100,0)),0))</f>
        <v/>
      </c>
      <c r="H867" s="78">
        <f>IF(OR($A867="",'Importar Reservas'!M859&lt;&gt;"Aprovado",$D867&lt;=0),"",MAX(0,IF($F867="Margem",$D867-$E867,$D867))*$G867)</f>
        <v/>
      </c>
    </row>
    <row r="868" ht="15" customHeight="1" s="79">
      <c r="A868" s="78">
        <f>IF('Importar Reservas'!A860="","",'Importar Reservas'!A860)</f>
        <v/>
      </c>
      <c r="B868" s="78">
        <f>IF($A868="","",'Importar Reservas'!B860)</f>
        <v/>
      </c>
      <c r="C868" s="78">
        <f>IF($A868="","",'Importar Reservas'!Z860)</f>
        <v/>
      </c>
      <c r="D868" s="78">
        <f>IF($A868="","",IF('Importar Reservas'!O860="",0,'Importar Reservas'!O860))</f>
        <v/>
      </c>
      <c r="E868" s="78">
        <f>IF($A868="","",IF('Importar Reservas'!N860="",0,'Importar Reservas'!N860))</f>
        <v/>
      </c>
      <c r="F868" s="78">
        <f>IF($A868="","",IFERROR(INDEX(Configurações!$C$5:$C$100,MATCH($C868,Configurações!$A$5:$A$100,0)),"Margem"))</f>
        <v/>
      </c>
      <c r="G868" s="78">
        <f>IF($A868="","",IFERROR(INDEX(Configurações!$B$5:$B$100,MATCH($C868,Configurações!$A$5:$A$100,0)),0))</f>
        <v/>
      </c>
      <c r="H868" s="78">
        <f>IF(OR($A868="",'Importar Reservas'!M860&lt;&gt;"Aprovado",$D868&lt;=0),"",MAX(0,IF($F868="Margem",$D868-$E868,$D868))*$G868)</f>
        <v/>
      </c>
    </row>
    <row r="869" ht="15" customHeight="1" s="79">
      <c r="A869" s="78">
        <f>IF('Importar Reservas'!A861="","",'Importar Reservas'!A861)</f>
        <v/>
      </c>
      <c r="B869" s="78">
        <f>IF($A869="","",'Importar Reservas'!B861)</f>
        <v/>
      </c>
      <c r="C869" s="78">
        <f>IF($A869="","",'Importar Reservas'!Z861)</f>
        <v/>
      </c>
      <c r="D869" s="78">
        <f>IF($A869="","",IF('Importar Reservas'!O861="",0,'Importar Reservas'!O861))</f>
        <v/>
      </c>
      <c r="E869" s="78">
        <f>IF($A869="","",IF('Importar Reservas'!N861="",0,'Importar Reservas'!N861))</f>
        <v/>
      </c>
      <c r="F869" s="78">
        <f>IF($A869="","",IFERROR(INDEX(Configurações!$C$5:$C$100,MATCH($C869,Configurações!$A$5:$A$100,0)),"Margem"))</f>
        <v/>
      </c>
      <c r="G869" s="78">
        <f>IF($A869="","",IFERROR(INDEX(Configurações!$B$5:$B$100,MATCH($C869,Configurações!$A$5:$A$100,0)),0))</f>
        <v/>
      </c>
      <c r="H869" s="78">
        <f>IF(OR($A869="",'Importar Reservas'!M861&lt;&gt;"Aprovado",$D869&lt;=0),"",MAX(0,IF($F869="Margem",$D869-$E869,$D869))*$G869)</f>
        <v/>
      </c>
    </row>
    <row r="870" ht="15" customHeight="1" s="79">
      <c r="A870" s="78">
        <f>IF('Importar Reservas'!A862="","",'Importar Reservas'!A862)</f>
        <v/>
      </c>
      <c r="B870" s="78">
        <f>IF($A870="","",'Importar Reservas'!B862)</f>
        <v/>
      </c>
      <c r="C870" s="78">
        <f>IF($A870="","",'Importar Reservas'!Z862)</f>
        <v/>
      </c>
      <c r="D870" s="78">
        <f>IF($A870="","",IF('Importar Reservas'!O862="",0,'Importar Reservas'!O862))</f>
        <v/>
      </c>
      <c r="E870" s="78">
        <f>IF($A870="","",IF('Importar Reservas'!N862="",0,'Importar Reservas'!N862))</f>
        <v/>
      </c>
      <c r="F870" s="78">
        <f>IF($A870="","",IFERROR(INDEX(Configurações!$C$5:$C$100,MATCH($C870,Configurações!$A$5:$A$100,0)),"Margem"))</f>
        <v/>
      </c>
      <c r="G870" s="78">
        <f>IF($A870="","",IFERROR(INDEX(Configurações!$B$5:$B$100,MATCH($C870,Configurações!$A$5:$A$100,0)),0))</f>
        <v/>
      </c>
      <c r="H870" s="78">
        <f>IF(OR($A870="",'Importar Reservas'!M862&lt;&gt;"Aprovado",$D870&lt;=0),"",MAX(0,IF($F870="Margem",$D870-$E870,$D870))*$G870)</f>
        <v/>
      </c>
    </row>
    <row r="871" ht="15" customHeight="1" s="79">
      <c r="A871" s="78">
        <f>IF('Importar Reservas'!A863="","",'Importar Reservas'!A863)</f>
        <v/>
      </c>
      <c r="B871" s="78">
        <f>IF($A871="","",'Importar Reservas'!B863)</f>
        <v/>
      </c>
      <c r="C871" s="78">
        <f>IF($A871="","",'Importar Reservas'!Z863)</f>
        <v/>
      </c>
      <c r="D871" s="78">
        <f>IF($A871="","",IF('Importar Reservas'!O863="",0,'Importar Reservas'!O863))</f>
        <v/>
      </c>
      <c r="E871" s="78">
        <f>IF($A871="","",IF('Importar Reservas'!N863="",0,'Importar Reservas'!N863))</f>
        <v/>
      </c>
      <c r="F871" s="78">
        <f>IF($A871="","",IFERROR(INDEX(Configurações!$C$5:$C$100,MATCH($C871,Configurações!$A$5:$A$100,0)),"Margem"))</f>
        <v/>
      </c>
      <c r="G871" s="78">
        <f>IF($A871="","",IFERROR(INDEX(Configurações!$B$5:$B$100,MATCH($C871,Configurações!$A$5:$A$100,0)),0))</f>
        <v/>
      </c>
      <c r="H871" s="78">
        <f>IF(OR($A871="",'Importar Reservas'!M863&lt;&gt;"Aprovado",$D871&lt;=0),"",MAX(0,IF($F871="Margem",$D871-$E871,$D871))*$G871)</f>
        <v/>
      </c>
    </row>
    <row r="872" ht="15" customHeight="1" s="79">
      <c r="A872" s="78">
        <f>IF('Importar Reservas'!A864="","",'Importar Reservas'!A864)</f>
        <v/>
      </c>
      <c r="B872" s="78">
        <f>IF($A872="","",'Importar Reservas'!B864)</f>
        <v/>
      </c>
      <c r="C872" s="78">
        <f>IF($A872="","",'Importar Reservas'!Z864)</f>
        <v/>
      </c>
      <c r="D872" s="78">
        <f>IF($A872="","",IF('Importar Reservas'!O864="",0,'Importar Reservas'!O864))</f>
        <v/>
      </c>
      <c r="E872" s="78">
        <f>IF($A872="","",IF('Importar Reservas'!N864="",0,'Importar Reservas'!N864))</f>
        <v/>
      </c>
      <c r="F872" s="78">
        <f>IF($A872="","",IFERROR(INDEX(Configurações!$C$5:$C$100,MATCH($C872,Configurações!$A$5:$A$100,0)),"Margem"))</f>
        <v/>
      </c>
      <c r="G872" s="78">
        <f>IF($A872="","",IFERROR(INDEX(Configurações!$B$5:$B$100,MATCH($C872,Configurações!$A$5:$A$100,0)),0))</f>
        <v/>
      </c>
      <c r="H872" s="78">
        <f>IF(OR($A872="",'Importar Reservas'!M864&lt;&gt;"Aprovado",$D872&lt;=0),"",MAX(0,IF($F872="Margem",$D872-$E872,$D872))*$G872)</f>
        <v/>
      </c>
    </row>
    <row r="873" ht="15" customHeight="1" s="79">
      <c r="A873" s="78">
        <f>IF('Importar Reservas'!A865="","",'Importar Reservas'!A865)</f>
        <v/>
      </c>
      <c r="B873" s="78">
        <f>IF($A873="","",'Importar Reservas'!B865)</f>
        <v/>
      </c>
      <c r="C873" s="78">
        <f>IF($A873="","",'Importar Reservas'!Z865)</f>
        <v/>
      </c>
      <c r="D873" s="78">
        <f>IF($A873="","",IF('Importar Reservas'!O865="",0,'Importar Reservas'!O865))</f>
        <v/>
      </c>
      <c r="E873" s="78">
        <f>IF($A873="","",IF('Importar Reservas'!N865="",0,'Importar Reservas'!N865))</f>
        <v/>
      </c>
      <c r="F873" s="78">
        <f>IF($A873="","",IFERROR(INDEX(Configurações!$C$5:$C$100,MATCH($C873,Configurações!$A$5:$A$100,0)),"Margem"))</f>
        <v/>
      </c>
      <c r="G873" s="78">
        <f>IF($A873="","",IFERROR(INDEX(Configurações!$B$5:$B$100,MATCH($C873,Configurações!$A$5:$A$100,0)),0))</f>
        <v/>
      </c>
      <c r="H873" s="78">
        <f>IF(OR($A873="",'Importar Reservas'!M865&lt;&gt;"Aprovado",$D873&lt;=0),"",MAX(0,IF($F873="Margem",$D873-$E873,$D873))*$G873)</f>
        <v/>
      </c>
    </row>
    <row r="874" ht="15" customHeight="1" s="79">
      <c r="A874" s="78">
        <f>IF('Importar Reservas'!A866="","",'Importar Reservas'!A866)</f>
        <v/>
      </c>
      <c r="B874" s="78">
        <f>IF($A874="","",'Importar Reservas'!B866)</f>
        <v/>
      </c>
      <c r="C874" s="78">
        <f>IF($A874="","",'Importar Reservas'!Z866)</f>
        <v/>
      </c>
      <c r="D874" s="78">
        <f>IF($A874="","",IF('Importar Reservas'!O866="",0,'Importar Reservas'!O866))</f>
        <v/>
      </c>
      <c r="E874" s="78">
        <f>IF($A874="","",IF('Importar Reservas'!N866="",0,'Importar Reservas'!N866))</f>
        <v/>
      </c>
      <c r="F874" s="78">
        <f>IF($A874="","",IFERROR(INDEX(Configurações!$C$5:$C$100,MATCH($C874,Configurações!$A$5:$A$100,0)),"Margem"))</f>
        <v/>
      </c>
      <c r="G874" s="78">
        <f>IF($A874="","",IFERROR(INDEX(Configurações!$B$5:$B$100,MATCH($C874,Configurações!$A$5:$A$100,0)),0))</f>
        <v/>
      </c>
      <c r="H874" s="78">
        <f>IF(OR($A874="",'Importar Reservas'!M866&lt;&gt;"Aprovado",$D874&lt;=0),"",MAX(0,IF($F874="Margem",$D874-$E874,$D874))*$G874)</f>
        <v/>
      </c>
    </row>
    <row r="875" ht="15" customHeight="1" s="79">
      <c r="A875" s="78">
        <f>IF('Importar Reservas'!A867="","",'Importar Reservas'!A867)</f>
        <v/>
      </c>
      <c r="B875" s="78">
        <f>IF($A875="","",'Importar Reservas'!B867)</f>
        <v/>
      </c>
      <c r="C875" s="78">
        <f>IF($A875="","",'Importar Reservas'!Z867)</f>
        <v/>
      </c>
      <c r="D875" s="78">
        <f>IF($A875="","",IF('Importar Reservas'!O867="",0,'Importar Reservas'!O867))</f>
        <v/>
      </c>
      <c r="E875" s="78">
        <f>IF($A875="","",IF('Importar Reservas'!N867="",0,'Importar Reservas'!N867))</f>
        <v/>
      </c>
      <c r="F875" s="78">
        <f>IF($A875="","",IFERROR(INDEX(Configurações!$C$5:$C$100,MATCH($C875,Configurações!$A$5:$A$100,0)),"Margem"))</f>
        <v/>
      </c>
      <c r="G875" s="78">
        <f>IF($A875="","",IFERROR(INDEX(Configurações!$B$5:$B$100,MATCH($C875,Configurações!$A$5:$A$100,0)),0))</f>
        <v/>
      </c>
      <c r="H875" s="78">
        <f>IF(OR($A875="",'Importar Reservas'!M867&lt;&gt;"Aprovado",$D875&lt;=0),"",MAX(0,IF($F875="Margem",$D875-$E875,$D875))*$G875)</f>
        <v/>
      </c>
    </row>
    <row r="876" ht="15" customHeight="1" s="79">
      <c r="A876" s="78">
        <f>IF('Importar Reservas'!A868="","",'Importar Reservas'!A868)</f>
        <v/>
      </c>
      <c r="B876" s="78">
        <f>IF($A876="","",'Importar Reservas'!B868)</f>
        <v/>
      </c>
      <c r="C876" s="78">
        <f>IF($A876="","",'Importar Reservas'!Z868)</f>
        <v/>
      </c>
      <c r="D876" s="78">
        <f>IF($A876="","",IF('Importar Reservas'!O868="",0,'Importar Reservas'!O868))</f>
        <v/>
      </c>
      <c r="E876" s="78">
        <f>IF($A876="","",IF('Importar Reservas'!N868="",0,'Importar Reservas'!N868))</f>
        <v/>
      </c>
      <c r="F876" s="78">
        <f>IF($A876="","",IFERROR(INDEX(Configurações!$C$5:$C$100,MATCH($C876,Configurações!$A$5:$A$100,0)),"Margem"))</f>
        <v/>
      </c>
      <c r="G876" s="78">
        <f>IF($A876="","",IFERROR(INDEX(Configurações!$B$5:$B$100,MATCH($C876,Configurações!$A$5:$A$100,0)),0))</f>
        <v/>
      </c>
      <c r="H876" s="78">
        <f>IF(OR($A876="",'Importar Reservas'!M868&lt;&gt;"Aprovado",$D876&lt;=0),"",MAX(0,IF($F876="Margem",$D876-$E876,$D876))*$G876)</f>
        <v/>
      </c>
    </row>
    <row r="877" ht="15" customHeight="1" s="79">
      <c r="A877" s="78">
        <f>IF('Importar Reservas'!A869="","",'Importar Reservas'!A869)</f>
        <v/>
      </c>
      <c r="B877" s="78">
        <f>IF($A877="","",'Importar Reservas'!B869)</f>
        <v/>
      </c>
      <c r="C877" s="78">
        <f>IF($A877="","",'Importar Reservas'!Z869)</f>
        <v/>
      </c>
      <c r="D877" s="78">
        <f>IF($A877="","",IF('Importar Reservas'!O869="",0,'Importar Reservas'!O869))</f>
        <v/>
      </c>
      <c r="E877" s="78">
        <f>IF($A877="","",IF('Importar Reservas'!N869="",0,'Importar Reservas'!N869))</f>
        <v/>
      </c>
      <c r="F877" s="78">
        <f>IF($A877="","",IFERROR(INDEX(Configurações!$C$5:$C$100,MATCH($C877,Configurações!$A$5:$A$100,0)),"Margem"))</f>
        <v/>
      </c>
      <c r="G877" s="78">
        <f>IF($A877="","",IFERROR(INDEX(Configurações!$B$5:$B$100,MATCH($C877,Configurações!$A$5:$A$100,0)),0))</f>
        <v/>
      </c>
      <c r="H877" s="78">
        <f>IF(OR($A877="",'Importar Reservas'!M869&lt;&gt;"Aprovado",$D877&lt;=0),"",MAX(0,IF($F877="Margem",$D877-$E877,$D877))*$G877)</f>
        <v/>
      </c>
    </row>
    <row r="878" ht="15" customHeight="1" s="79">
      <c r="A878" s="78">
        <f>IF('Importar Reservas'!A870="","",'Importar Reservas'!A870)</f>
        <v/>
      </c>
      <c r="B878" s="78">
        <f>IF($A878="","",'Importar Reservas'!B870)</f>
        <v/>
      </c>
      <c r="C878" s="78">
        <f>IF($A878="","",'Importar Reservas'!Z870)</f>
        <v/>
      </c>
      <c r="D878" s="78">
        <f>IF($A878="","",IF('Importar Reservas'!O870="",0,'Importar Reservas'!O870))</f>
        <v/>
      </c>
      <c r="E878" s="78">
        <f>IF($A878="","",IF('Importar Reservas'!N870="",0,'Importar Reservas'!N870))</f>
        <v/>
      </c>
      <c r="F878" s="78">
        <f>IF($A878="","",IFERROR(INDEX(Configurações!$C$5:$C$100,MATCH($C878,Configurações!$A$5:$A$100,0)),"Margem"))</f>
        <v/>
      </c>
      <c r="G878" s="78">
        <f>IF($A878="","",IFERROR(INDEX(Configurações!$B$5:$B$100,MATCH($C878,Configurações!$A$5:$A$100,0)),0))</f>
        <v/>
      </c>
      <c r="H878" s="78">
        <f>IF(OR($A878="",'Importar Reservas'!M870&lt;&gt;"Aprovado",$D878&lt;=0),"",MAX(0,IF($F878="Margem",$D878-$E878,$D878))*$G878)</f>
        <v/>
      </c>
    </row>
    <row r="879" ht="15" customHeight="1" s="79">
      <c r="A879" s="78">
        <f>IF('Importar Reservas'!A871="","",'Importar Reservas'!A871)</f>
        <v/>
      </c>
      <c r="B879" s="78">
        <f>IF($A879="","",'Importar Reservas'!B871)</f>
        <v/>
      </c>
      <c r="C879" s="78">
        <f>IF($A879="","",'Importar Reservas'!Z871)</f>
        <v/>
      </c>
      <c r="D879" s="78">
        <f>IF($A879="","",IF('Importar Reservas'!O871="",0,'Importar Reservas'!O871))</f>
        <v/>
      </c>
      <c r="E879" s="78">
        <f>IF($A879="","",IF('Importar Reservas'!N871="",0,'Importar Reservas'!N871))</f>
        <v/>
      </c>
      <c r="F879" s="78">
        <f>IF($A879="","",IFERROR(INDEX(Configurações!$C$5:$C$100,MATCH($C879,Configurações!$A$5:$A$100,0)),"Margem"))</f>
        <v/>
      </c>
      <c r="G879" s="78">
        <f>IF($A879="","",IFERROR(INDEX(Configurações!$B$5:$B$100,MATCH($C879,Configurações!$A$5:$A$100,0)),0))</f>
        <v/>
      </c>
      <c r="H879" s="78">
        <f>IF(OR($A879="",'Importar Reservas'!M871&lt;&gt;"Aprovado",$D879&lt;=0),"",MAX(0,IF($F879="Margem",$D879-$E879,$D879))*$G879)</f>
        <v/>
      </c>
    </row>
    <row r="880" ht="15" customHeight="1" s="79">
      <c r="A880" s="78">
        <f>IF('Importar Reservas'!A872="","",'Importar Reservas'!A872)</f>
        <v/>
      </c>
      <c r="B880" s="78">
        <f>IF($A880="","",'Importar Reservas'!B872)</f>
        <v/>
      </c>
      <c r="C880" s="78">
        <f>IF($A880="","",'Importar Reservas'!Z872)</f>
        <v/>
      </c>
      <c r="D880" s="78">
        <f>IF($A880="","",IF('Importar Reservas'!O872="",0,'Importar Reservas'!O872))</f>
        <v/>
      </c>
      <c r="E880" s="78">
        <f>IF($A880="","",IF('Importar Reservas'!N872="",0,'Importar Reservas'!N872))</f>
        <v/>
      </c>
      <c r="F880" s="78">
        <f>IF($A880="","",IFERROR(INDEX(Configurações!$C$5:$C$100,MATCH($C880,Configurações!$A$5:$A$100,0)),"Margem"))</f>
        <v/>
      </c>
      <c r="G880" s="78">
        <f>IF($A880="","",IFERROR(INDEX(Configurações!$B$5:$B$100,MATCH($C880,Configurações!$A$5:$A$100,0)),0))</f>
        <v/>
      </c>
      <c r="H880" s="78">
        <f>IF(OR($A880="",'Importar Reservas'!M872&lt;&gt;"Aprovado",$D880&lt;=0),"",MAX(0,IF($F880="Margem",$D880-$E880,$D880))*$G880)</f>
        <v/>
      </c>
    </row>
    <row r="881" ht="15" customHeight="1" s="79">
      <c r="A881" s="78">
        <f>IF('Importar Reservas'!A873="","",'Importar Reservas'!A873)</f>
        <v/>
      </c>
      <c r="B881" s="78">
        <f>IF($A881="","",'Importar Reservas'!B873)</f>
        <v/>
      </c>
      <c r="C881" s="78">
        <f>IF($A881="","",'Importar Reservas'!Z873)</f>
        <v/>
      </c>
      <c r="D881" s="78">
        <f>IF($A881="","",IF('Importar Reservas'!O873="",0,'Importar Reservas'!O873))</f>
        <v/>
      </c>
      <c r="E881" s="78">
        <f>IF($A881="","",IF('Importar Reservas'!N873="",0,'Importar Reservas'!N873))</f>
        <v/>
      </c>
      <c r="F881" s="78">
        <f>IF($A881="","",IFERROR(INDEX(Configurações!$C$5:$C$100,MATCH($C881,Configurações!$A$5:$A$100,0)),"Margem"))</f>
        <v/>
      </c>
      <c r="G881" s="78">
        <f>IF($A881="","",IFERROR(INDEX(Configurações!$B$5:$B$100,MATCH($C881,Configurações!$A$5:$A$100,0)),0))</f>
        <v/>
      </c>
      <c r="H881" s="78">
        <f>IF(OR($A881="",'Importar Reservas'!M873&lt;&gt;"Aprovado",$D881&lt;=0),"",MAX(0,IF($F881="Margem",$D881-$E881,$D881))*$G881)</f>
        <v/>
      </c>
    </row>
    <row r="882" ht="15" customHeight="1" s="79">
      <c r="A882" s="78">
        <f>IF('Importar Reservas'!A874="","",'Importar Reservas'!A874)</f>
        <v/>
      </c>
      <c r="B882" s="78">
        <f>IF($A882="","",'Importar Reservas'!B874)</f>
        <v/>
      </c>
      <c r="C882" s="78">
        <f>IF($A882="","",'Importar Reservas'!Z874)</f>
        <v/>
      </c>
      <c r="D882" s="78">
        <f>IF($A882="","",IF('Importar Reservas'!O874="",0,'Importar Reservas'!O874))</f>
        <v/>
      </c>
      <c r="E882" s="78">
        <f>IF($A882="","",IF('Importar Reservas'!N874="",0,'Importar Reservas'!N874))</f>
        <v/>
      </c>
      <c r="F882" s="78">
        <f>IF($A882="","",IFERROR(INDEX(Configurações!$C$5:$C$100,MATCH($C882,Configurações!$A$5:$A$100,0)),"Margem"))</f>
        <v/>
      </c>
      <c r="G882" s="78">
        <f>IF($A882="","",IFERROR(INDEX(Configurações!$B$5:$B$100,MATCH($C882,Configurações!$A$5:$A$100,0)),0))</f>
        <v/>
      </c>
      <c r="H882" s="78">
        <f>IF(OR($A882="",'Importar Reservas'!M874&lt;&gt;"Aprovado",$D882&lt;=0),"",MAX(0,IF($F882="Margem",$D882-$E882,$D882))*$G882)</f>
        <v/>
      </c>
    </row>
    <row r="883" ht="15" customHeight="1" s="79">
      <c r="A883" s="78">
        <f>IF('Importar Reservas'!A875="","",'Importar Reservas'!A875)</f>
        <v/>
      </c>
      <c r="B883" s="78">
        <f>IF($A883="","",'Importar Reservas'!B875)</f>
        <v/>
      </c>
      <c r="C883" s="78">
        <f>IF($A883="","",'Importar Reservas'!Z875)</f>
        <v/>
      </c>
      <c r="D883" s="78">
        <f>IF($A883="","",IF('Importar Reservas'!O875="",0,'Importar Reservas'!O875))</f>
        <v/>
      </c>
      <c r="E883" s="78">
        <f>IF($A883="","",IF('Importar Reservas'!N875="",0,'Importar Reservas'!N875))</f>
        <v/>
      </c>
      <c r="F883" s="78">
        <f>IF($A883="","",IFERROR(INDEX(Configurações!$C$5:$C$100,MATCH($C883,Configurações!$A$5:$A$100,0)),"Margem"))</f>
        <v/>
      </c>
      <c r="G883" s="78">
        <f>IF($A883="","",IFERROR(INDEX(Configurações!$B$5:$B$100,MATCH($C883,Configurações!$A$5:$A$100,0)),0))</f>
        <v/>
      </c>
      <c r="H883" s="78">
        <f>IF(OR($A883="",'Importar Reservas'!M875&lt;&gt;"Aprovado",$D883&lt;=0),"",MAX(0,IF($F883="Margem",$D883-$E883,$D883))*$G883)</f>
        <v/>
      </c>
    </row>
    <row r="884" ht="15" customHeight="1" s="79">
      <c r="A884" s="78">
        <f>IF('Importar Reservas'!A876="","",'Importar Reservas'!A876)</f>
        <v/>
      </c>
      <c r="B884" s="78">
        <f>IF($A884="","",'Importar Reservas'!B876)</f>
        <v/>
      </c>
      <c r="C884" s="78">
        <f>IF($A884="","",'Importar Reservas'!Z876)</f>
        <v/>
      </c>
      <c r="D884" s="78">
        <f>IF($A884="","",IF('Importar Reservas'!O876="",0,'Importar Reservas'!O876))</f>
        <v/>
      </c>
      <c r="E884" s="78">
        <f>IF($A884="","",IF('Importar Reservas'!N876="",0,'Importar Reservas'!N876))</f>
        <v/>
      </c>
      <c r="F884" s="78">
        <f>IF($A884="","",IFERROR(INDEX(Configurações!$C$5:$C$100,MATCH($C884,Configurações!$A$5:$A$100,0)),"Margem"))</f>
        <v/>
      </c>
      <c r="G884" s="78">
        <f>IF($A884="","",IFERROR(INDEX(Configurações!$B$5:$B$100,MATCH($C884,Configurações!$A$5:$A$100,0)),0))</f>
        <v/>
      </c>
      <c r="H884" s="78">
        <f>IF(OR($A884="",'Importar Reservas'!M876&lt;&gt;"Aprovado",$D884&lt;=0),"",MAX(0,IF($F884="Margem",$D884-$E884,$D884))*$G884)</f>
        <v/>
      </c>
    </row>
    <row r="885" ht="15" customHeight="1" s="79">
      <c r="A885" s="78">
        <f>IF('Importar Reservas'!A877="","",'Importar Reservas'!A877)</f>
        <v/>
      </c>
      <c r="B885" s="78">
        <f>IF($A885="","",'Importar Reservas'!B877)</f>
        <v/>
      </c>
      <c r="C885" s="78">
        <f>IF($A885="","",'Importar Reservas'!Z877)</f>
        <v/>
      </c>
      <c r="D885" s="78">
        <f>IF($A885="","",IF('Importar Reservas'!O877="",0,'Importar Reservas'!O877))</f>
        <v/>
      </c>
      <c r="E885" s="78">
        <f>IF($A885="","",IF('Importar Reservas'!N877="",0,'Importar Reservas'!N877))</f>
        <v/>
      </c>
      <c r="F885" s="78">
        <f>IF($A885="","",IFERROR(INDEX(Configurações!$C$5:$C$100,MATCH($C885,Configurações!$A$5:$A$100,0)),"Margem"))</f>
        <v/>
      </c>
      <c r="G885" s="78">
        <f>IF($A885="","",IFERROR(INDEX(Configurações!$B$5:$B$100,MATCH($C885,Configurações!$A$5:$A$100,0)),0))</f>
        <v/>
      </c>
      <c r="H885" s="78">
        <f>IF(OR($A885="",'Importar Reservas'!M877&lt;&gt;"Aprovado",$D885&lt;=0),"",MAX(0,IF($F885="Margem",$D885-$E885,$D885))*$G885)</f>
        <v/>
      </c>
    </row>
    <row r="886" ht="15" customHeight="1" s="79">
      <c r="A886" s="78">
        <f>IF('Importar Reservas'!A878="","",'Importar Reservas'!A878)</f>
        <v/>
      </c>
      <c r="B886" s="78">
        <f>IF($A886="","",'Importar Reservas'!B878)</f>
        <v/>
      </c>
      <c r="C886" s="78">
        <f>IF($A886="","",'Importar Reservas'!Z878)</f>
        <v/>
      </c>
      <c r="D886" s="78">
        <f>IF($A886="","",IF('Importar Reservas'!O878="",0,'Importar Reservas'!O878))</f>
        <v/>
      </c>
      <c r="E886" s="78">
        <f>IF($A886="","",IF('Importar Reservas'!N878="",0,'Importar Reservas'!N878))</f>
        <v/>
      </c>
      <c r="F886" s="78">
        <f>IF($A886="","",IFERROR(INDEX(Configurações!$C$5:$C$100,MATCH($C886,Configurações!$A$5:$A$100,0)),"Margem"))</f>
        <v/>
      </c>
      <c r="G886" s="78">
        <f>IF($A886="","",IFERROR(INDEX(Configurações!$B$5:$B$100,MATCH($C886,Configurações!$A$5:$A$100,0)),0))</f>
        <v/>
      </c>
      <c r="H886" s="78">
        <f>IF(OR($A886="",'Importar Reservas'!M878&lt;&gt;"Aprovado",$D886&lt;=0),"",MAX(0,IF($F886="Margem",$D886-$E886,$D886))*$G886)</f>
        <v/>
      </c>
    </row>
    <row r="887" ht="15" customHeight="1" s="79">
      <c r="A887" s="78">
        <f>IF('Importar Reservas'!A879="","",'Importar Reservas'!A879)</f>
        <v/>
      </c>
      <c r="B887" s="78">
        <f>IF($A887="","",'Importar Reservas'!B879)</f>
        <v/>
      </c>
      <c r="C887" s="78">
        <f>IF($A887="","",'Importar Reservas'!Z879)</f>
        <v/>
      </c>
      <c r="D887" s="78">
        <f>IF($A887="","",IF('Importar Reservas'!O879="",0,'Importar Reservas'!O879))</f>
        <v/>
      </c>
      <c r="E887" s="78">
        <f>IF($A887="","",IF('Importar Reservas'!N879="",0,'Importar Reservas'!N879))</f>
        <v/>
      </c>
      <c r="F887" s="78">
        <f>IF($A887="","",IFERROR(INDEX(Configurações!$C$5:$C$100,MATCH($C887,Configurações!$A$5:$A$100,0)),"Margem"))</f>
        <v/>
      </c>
      <c r="G887" s="78">
        <f>IF($A887="","",IFERROR(INDEX(Configurações!$B$5:$B$100,MATCH($C887,Configurações!$A$5:$A$100,0)),0))</f>
        <v/>
      </c>
      <c r="H887" s="78">
        <f>IF(OR($A887="",'Importar Reservas'!M879&lt;&gt;"Aprovado",$D887&lt;=0),"",MAX(0,IF($F887="Margem",$D887-$E887,$D887))*$G887)</f>
        <v/>
      </c>
    </row>
    <row r="888" ht="15" customHeight="1" s="79">
      <c r="A888" s="78">
        <f>IF('Importar Reservas'!A880="","",'Importar Reservas'!A880)</f>
        <v/>
      </c>
      <c r="B888" s="78">
        <f>IF($A888="","",'Importar Reservas'!B880)</f>
        <v/>
      </c>
      <c r="C888" s="78">
        <f>IF($A888="","",'Importar Reservas'!Z880)</f>
        <v/>
      </c>
      <c r="D888" s="78">
        <f>IF($A888="","",IF('Importar Reservas'!O880="",0,'Importar Reservas'!O880))</f>
        <v/>
      </c>
      <c r="E888" s="78">
        <f>IF($A888="","",IF('Importar Reservas'!N880="",0,'Importar Reservas'!N880))</f>
        <v/>
      </c>
      <c r="F888" s="78">
        <f>IF($A888="","",IFERROR(INDEX(Configurações!$C$5:$C$100,MATCH($C888,Configurações!$A$5:$A$100,0)),"Margem"))</f>
        <v/>
      </c>
      <c r="G888" s="78">
        <f>IF($A888="","",IFERROR(INDEX(Configurações!$B$5:$B$100,MATCH($C888,Configurações!$A$5:$A$100,0)),0))</f>
        <v/>
      </c>
      <c r="H888" s="78">
        <f>IF(OR($A888="",'Importar Reservas'!M880&lt;&gt;"Aprovado",$D888&lt;=0),"",MAX(0,IF($F888="Margem",$D888-$E888,$D888))*$G888)</f>
        <v/>
      </c>
    </row>
    <row r="889" ht="15" customHeight="1" s="79">
      <c r="A889" s="78">
        <f>IF('Importar Reservas'!A881="","",'Importar Reservas'!A881)</f>
        <v/>
      </c>
      <c r="B889" s="78">
        <f>IF($A889="","",'Importar Reservas'!B881)</f>
        <v/>
      </c>
      <c r="C889" s="78">
        <f>IF($A889="","",'Importar Reservas'!Z881)</f>
        <v/>
      </c>
      <c r="D889" s="78">
        <f>IF($A889="","",IF('Importar Reservas'!O881="",0,'Importar Reservas'!O881))</f>
        <v/>
      </c>
      <c r="E889" s="78">
        <f>IF($A889="","",IF('Importar Reservas'!N881="",0,'Importar Reservas'!N881))</f>
        <v/>
      </c>
      <c r="F889" s="78">
        <f>IF($A889="","",IFERROR(INDEX(Configurações!$C$5:$C$100,MATCH($C889,Configurações!$A$5:$A$100,0)),"Margem"))</f>
        <v/>
      </c>
      <c r="G889" s="78">
        <f>IF($A889="","",IFERROR(INDEX(Configurações!$B$5:$B$100,MATCH($C889,Configurações!$A$5:$A$100,0)),0))</f>
        <v/>
      </c>
      <c r="H889" s="78">
        <f>IF(OR($A889="",'Importar Reservas'!M881&lt;&gt;"Aprovado",$D889&lt;=0),"",MAX(0,IF($F889="Margem",$D889-$E889,$D889))*$G889)</f>
        <v/>
      </c>
    </row>
    <row r="890" ht="15" customHeight="1" s="79">
      <c r="A890" s="78">
        <f>IF('Importar Reservas'!A882="","",'Importar Reservas'!A882)</f>
        <v/>
      </c>
      <c r="B890" s="78">
        <f>IF($A890="","",'Importar Reservas'!B882)</f>
        <v/>
      </c>
      <c r="C890" s="78">
        <f>IF($A890="","",'Importar Reservas'!Z882)</f>
        <v/>
      </c>
      <c r="D890" s="78">
        <f>IF($A890="","",IF('Importar Reservas'!O882="",0,'Importar Reservas'!O882))</f>
        <v/>
      </c>
      <c r="E890" s="78">
        <f>IF($A890="","",IF('Importar Reservas'!N882="",0,'Importar Reservas'!N882))</f>
        <v/>
      </c>
      <c r="F890" s="78">
        <f>IF($A890="","",IFERROR(INDEX(Configurações!$C$5:$C$100,MATCH($C890,Configurações!$A$5:$A$100,0)),"Margem"))</f>
        <v/>
      </c>
      <c r="G890" s="78">
        <f>IF($A890="","",IFERROR(INDEX(Configurações!$B$5:$B$100,MATCH($C890,Configurações!$A$5:$A$100,0)),0))</f>
        <v/>
      </c>
      <c r="H890" s="78">
        <f>IF(OR($A890="",'Importar Reservas'!M882&lt;&gt;"Aprovado",$D890&lt;=0),"",MAX(0,IF($F890="Margem",$D890-$E890,$D890))*$G890)</f>
        <v/>
      </c>
    </row>
    <row r="891" ht="15" customHeight="1" s="79">
      <c r="A891" s="78">
        <f>IF('Importar Reservas'!A883="","",'Importar Reservas'!A883)</f>
        <v/>
      </c>
      <c r="B891" s="78">
        <f>IF($A891="","",'Importar Reservas'!B883)</f>
        <v/>
      </c>
      <c r="C891" s="78">
        <f>IF($A891="","",'Importar Reservas'!Z883)</f>
        <v/>
      </c>
      <c r="D891" s="78">
        <f>IF($A891="","",IF('Importar Reservas'!O883="",0,'Importar Reservas'!O883))</f>
        <v/>
      </c>
      <c r="E891" s="78">
        <f>IF($A891="","",IF('Importar Reservas'!N883="",0,'Importar Reservas'!N883))</f>
        <v/>
      </c>
      <c r="F891" s="78">
        <f>IF($A891="","",IFERROR(INDEX(Configurações!$C$5:$C$100,MATCH($C891,Configurações!$A$5:$A$100,0)),"Margem"))</f>
        <v/>
      </c>
      <c r="G891" s="78">
        <f>IF($A891="","",IFERROR(INDEX(Configurações!$B$5:$B$100,MATCH($C891,Configurações!$A$5:$A$100,0)),0))</f>
        <v/>
      </c>
      <c r="H891" s="78">
        <f>IF(OR($A891="",'Importar Reservas'!M883&lt;&gt;"Aprovado",$D891&lt;=0),"",MAX(0,IF($F891="Margem",$D891-$E891,$D891))*$G891)</f>
        <v/>
      </c>
    </row>
    <row r="892" ht="15" customHeight="1" s="79">
      <c r="A892" s="78">
        <f>IF('Importar Reservas'!A884="","",'Importar Reservas'!A884)</f>
        <v/>
      </c>
      <c r="B892" s="78">
        <f>IF($A892="","",'Importar Reservas'!B884)</f>
        <v/>
      </c>
      <c r="C892" s="78">
        <f>IF($A892="","",'Importar Reservas'!Z884)</f>
        <v/>
      </c>
      <c r="D892" s="78">
        <f>IF($A892="","",IF('Importar Reservas'!O884="",0,'Importar Reservas'!O884))</f>
        <v/>
      </c>
      <c r="E892" s="78">
        <f>IF($A892="","",IF('Importar Reservas'!N884="",0,'Importar Reservas'!N884))</f>
        <v/>
      </c>
      <c r="F892" s="78">
        <f>IF($A892="","",IFERROR(INDEX(Configurações!$C$5:$C$100,MATCH($C892,Configurações!$A$5:$A$100,0)),"Margem"))</f>
        <v/>
      </c>
      <c r="G892" s="78">
        <f>IF($A892="","",IFERROR(INDEX(Configurações!$B$5:$B$100,MATCH($C892,Configurações!$A$5:$A$100,0)),0))</f>
        <v/>
      </c>
      <c r="H892" s="78">
        <f>IF(OR($A892="",'Importar Reservas'!M884&lt;&gt;"Aprovado",$D892&lt;=0),"",MAX(0,IF($F892="Margem",$D892-$E892,$D892))*$G892)</f>
        <v/>
      </c>
    </row>
    <row r="893" ht="15" customHeight="1" s="79">
      <c r="A893" s="78">
        <f>IF('Importar Reservas'!A885="","",'Importar Reservas'!A885)</f>
        <v/>
      </c>
      <c r="B893" s="78">
        <f>IF($A893="","",'Importar Reservas'!B885)</f>
        <v/>
      </c>
      <c r="C893" s="78">
        <f>IF($A893="","",'Importar Reservas'!Z885)</f>
        <v/>
      </c>
      <c r="D893" s="78">
        <f>IF($A893="","",IF('Importar Reservas'!O885="",0,'Importar Reservas'!O885))</f>
        <v/>
      </c>
      <c r="E893" s="78">
        <f>IF($A893="","",IF('Importar Reservas'!N885="",0,'Importar Reservas'!N885))</f>
        <v/>
      </c>
      <c r="F893" s="78">
        <f>IF($A893="","",IFERROR(INDEX(Configurações!$C$5:$C$100,MATCH($C893,Configurações!$A$5:$A$100,0)),"Margem"))</f>
        <v/>
      </c>
      <c r="G893" s="78">
        <f>IF($A893="","",IFERROR(INDEX(Configurações!$B$5:$B$100,MATCH($C893,Configurações!$A$5:$A$100,0)),0))</f>
        <v/>
      </c>
      <c r="H893" s="78">
        <f>IF(OR($A893="",'Importar Reservas'!M885&lt;&gt;"Aprovado",$D893&lt;=0),"",MAX(0,IF($F893="Margem",$D893-$E893,$D893))*$G893)</f>
        <v/>
      </c>
    </row>
    <row r="894" ht="15" customHeight="1" s="79">
      <c r="A894" s="78">
        <f>IF('Importar Reservas'!A886="","",'Importar Reservas'!A886)</f>
        <v/>
      </c>
      <c r="B894" s="78">
        <f>IF($A894="","",'Importar Reservas'!B886)</f>
        <v/>
      </c>
      <c r="C894" s="78">
        <f>IF($A894="","",'Importar Reservas'!Z886)</f>
        <v/>
      </c>
      <c r="D894" s="78">
        <f>IF($A894="","",IF('Importar Reservas'!O886="",0,'Importar Reservas'!O886))</f>
        <v/>
      </c>
      <c r="E894" s="78">
        <f>IF($A894="","",IF('Importar Reservas'!N886="",0,'Importar Reservas'!N886))</f>
        <v/>
      </c>
      <c r="F894" s="78">
        <f>IF($A894="","",IFERROR(INDEX(Configurações!$C$5:$C$100,MATCH($C894,Configurações!$A$5:$A$100,0)),"Margem"))</f>
        <v/>
      </c>
      <c r="G894" s="78">
        <f>IF($A894="","",IFERROR(INDEX(Configurações!$B$5:$B$100,MATCH($C894,Configurações!$A$5:$A$100,0)),0))</f>
        <v/>
      </c>
      <c r="H894" s="78">
        <f>IF(OR($A894="",'Importar Reservas'!M886&lt;&gt;"Aprovado",$D894&lt;=0),"",MAX(0,IF($F894="Margem",$D894-$E894,$D894))*$G894)</f>
        <v/>
      </c>
    </row>
    <row r="895" ht="15" customHeight="1" s="79">
      <c r="A895" s="78">
        <f>IF('Importar Reservas'!A887="","",'Importar Reservas'!A887)</f>
        <v/>
      </c>
      <c r="B895" s="78">
        <f>IF($A895="","",'Importar Reservas'!B887)</f>
        <v/>
      </c>
      <c r="C895" s="78">
        <f>IF($A895="","",'Importar Reservas'!Z887)</f>
        <v/>
      </c>
      <c r="D895" s="78">
        <f>IF($A895="","",IF('Importar Reservas'!O887="",0,'Importar Reservas'!O887))</f>
        <v/>
      </c>
      <c r="E895" s="78">
        <f>IF($A895="","",IF('Importar Reservas'!N887="",0,'Importar Reservas'!N887))</f>
        <v/>
      </c>
      <c r="F895" s="78">
        <f>IF($A895="","",IFERROR(INDEX(Configurações!$C$5:$C$100,MATCH($C895,Configurações!$A$5:$A$100,0)),"Margem"))</f>
        <v/>
      </c>
      <c r="G895" s="78">
        <f>IF($A895="","",IFERROR(INDEX(Configurações!$B$5:$B$100,MATCH($C895,Configurações!$A$5:$A$100,0)),0))</f>
        <v/>
      </c>
      <c r="H895" s="78">
        <f>IF(OR($A895="",'Importar Reservas'!M887&lt;&gt;"Aprovado",$D895&lt;=0),"",MAX(0,IF($F895="Margem",$D895-$E895,$D895))*$G895)</f>
        <v/>
      </c>
    </row>
    <row r="896" ht="15" customHeight="1" s="79">
      <c r="A896" s="78">
        <f>IF('Importar Reservas'!A888="","",'Importar Reservas'!A888)</f>
        <v/>
      </c>
      <c r="B896" s="78">
        <f>IF($A896="","",'Importar Reservas'!B888)</f>
        <v/>
      </c>
      <c r="C896" s="78">
        <f>IF($A896="","",'Importar Reservas'!Z888)</f>
        <v/>
      </c>
      <c r="D896" s="78">
        <f>IF($A896="","",IF('Importar Reservas'!O888="",0,'Importar Reservas'!O888))</f>
        <v/>
      </c>
      <c r="E896" s="78">
        <f>IF($A896="","",IF('Importar Reservas'!N888="",0,'Importar Reservas'!N888))</f>
        <v/>
      </c>
      <c r="F896" s="78">
        <f>IF($A896="","",IFERROR(INDEX(Configurações!$C$5:$C$100,MATCH($C896,Configurações!$A$5:$A$100,0)),"Margem"))</f>
        <v/>
      </c>
      <c r="G896" s="78">
        <f>IF($A896="","",IFERROR(INDEX(Configurações!$B$5:$B$100,MATCH($C896,Configurações!$A$5:$A$100,0)),0))</f>
        <v/>
      </c>
      <c r="H896" s="78">
        <f>IF(OR($A896="",'Importar Reservas'!M888&lt;&gt;"Aprovado",$D896&lt;=0),"",MAX(0,IF($F896="Margem",$D896-$E896,$D896))*$G896)</f>
        <v/>
      </c>
    </row>
    <row r="897" ht="15" customHeight="1" s="79">
      <c r="A897" s="78">
        <f>IF('Importar Reservas'!A889="","",'Importar Reservas'!A889)</f>
        <v/>
      </c>
      <c r="B897" s="78">
        <f>IF($A897="","",'Importar Reservas'!B889)</f>
        <v/>
      </c>
      <c r="C897" s="78">
        <f>IF($A897="","",'Importar Reservas'!Z889)</f>
        <v/>
      </c>
      <c r="D897" s="78">
        <f>IF($A897="","",IF('Importar Reservas'!O889="",0,'Importar Reservas'!O889))</f>
        <v/>
      </c>
      <c r="E897" s="78">
        <f>IF($A897="","",IF('Importar Reservas'!N889="",0,'Importar Reservas'!N889))</f>
        <v/>
      </c>
      <c r="F897" s="78">
        <f>IF($A897="","",IFERROR(INDEX(Configurações!$C$5:$C$100,MATCH($C897,Configurações!$A$5:$A$100,0)),"Margem"))</f>
        <v/>
      </c>
      <c r="G897" s="78">
        <f>IF($A897="","",IFERROR(INDEX(Configurações!$B$5:$B$100,MATCH($C897,Configurações!$A$5:$A$100,0)),0))</f>
        <v/>
      </c>
      <c r="H897" s="78">
        <f>IF(OR($A897="",'Importar Reservas'!M889&lt;&gt;"Aprovado",$D897&lt;=0),"",MAX(0,IF($F897="Margem",$D897-$E897,$D897))*$G897)</f>
        <v/>
      </c>
    </row>
    <row r="898" ht="15" customHeight="1" s="79">
      <c r="A898" s="78">
        <f>IF('Importar Reservas'!A890="","",'Importar Reservas'!A890)</f>
        <v/>
      </c>
      <c r="B898" s="78">
        <f>IF($A898="","",'Importar Reservas'!B890)</f>
        <v/>
      </c>
      <c r="C898" s="78">
        <f>IF($A898="","",'Importar Reservas'!Z890)</f>
        <v/>
      </c>
      <c r="D898" s="78">
        <f>IF($A898="","",IF('Importar Reservas'!O890="",0,'Importar Reservas'!O890))</f>
        <v/>
      </c>
      <c r="E898" s="78">
        <f>IF($A898="","",IF('Importar Reservas'!N890="",0,'Importar Reservas'!N890))</f>
        <v/>
      </c>
      <c r="F898" s="78">
        <f>IF($A898="","",IFERROR(INDEX(Configurações!$C$5:$C$100,MATCH($C898,Configurações!$A$5:$A$100,0)),"Margem"))</f>
        <v/>
      </c>
      <c r="G898" s="78">
        <f>IF($A898="","",IFERROR(INDEX(Configurações!$B$5:$B$100,MATCH($C898,Configurações!$A$5:$A$100,0)),0))</f>
        <v/>
      </c>
      <c r="H898" s="78">
        <f>IF(OR($A898="",'Importar Reservas'!M890&lt;&gt;"Aprovado",$D898&lt;=0),"",MAX(0,IF($F898="Margem",$D898-$E898,$D898))*$G898)</f>
        <v/>
      </c>
    </row>
    <row r="899" ht="15" customHeight="1" s="79">
      <c r="A899" s="78">
        <f>IF('Importar Reservas'!A891="","",'Importar Reservas'!A891)</f>
        <v/>
      </c>
      <c r="B899" s="78">
        <f>IF($A899="","",'Importar Reservas'!B891)</f>
        <v/>
      </c>
      <c r="C899" s="78">
        <f>IF($A899="","",'Importar Reservas'!Z891)</f>
        <v/>
      </c>
      <c r="D899" s="78">
        <f>IF($A899="","",IF('Importar Reservas'!O891="",0,'Importar Reservas'!O891))</f>
        <v/>
      </c>
      <c r="E899" s="78">
        <f>IF($A899="","",IF('Importar Reservas'!N891="",0,'Importar Reservas'!N891))</f>
        <v/>
      </c>
      <c r="F899" s="78">
        <f>IF($A899="","",IFERROR(INDEX(Configurações!$C$5:$C$100,MATCH($C899,Configurações!$A$5:$A$100,0)),"Margem"))</f>
        <v/>
      </c>
      <c r="G899" s="78">
        <f>IF($A899="","",IFERROR(INDEX(Configurações!$B$5:$B$100,MATCH($C899,Configurações!$A$5:$A$100,0)),0))</f>
        <v/>
      </c>
      <c r="H899" s="78">
        <f>IF(OR($A899="",'Importar Reservas'!M891&lt;&gt;"Aprovado",$D899&lt;=0),"",MAX(0,IF($F899="Margem",$D899-$E899,$D899))*$G899)</f>
        <v/>
      </c>
    </row>
    <row r="900" ht="15" customHeight="1" s="79">
      <c r="A900" s="78">
        <f>IF('Importar Reservas'!A892="","",'Importar Reservas'!A892)</f>
        <v/>
      </c>
      <c r="B900" s="78">
        <f>IF($A900="","",'Importar Reservas'!B892)</f>
        <v/>
      </c>
      <c r="C900" s="78">
        <f>IF($A900="","",'Importar Reservas'!Z892)</f>
        <v/>
      </c>
      <c r="D900" s="78">
        <f>IF($A900="","",IF('Importar Reservas'!O892="",0,'Importar Reservas'!O892))</f>
        <v/>
      </c>
      <c r="E900" s="78">
        <f>IF($A900="","",IF('Importar Reservas'!N892="",0,'Importar Reservas'!N892))</f>
        <v/>
      </c>
      <c r="F900" s="78">
        <f>IF($A900="","",IFERROR(INDEX(Configurações!$C$5:$C$100,MATCH($C900,Configurações!$A$5:$A$100,0)),"Margem"))</f>
        <v/>
      </c>
      <c r="G900" s="78">
        <f>IF($A900="","",IFERROR(INDEX(Configurações!$B$5:$B$100,MATCH($C900,Configurações!$A$5:$A$100,0)),0))</f>
        <v/>
      </c>
      <c r="H900" s="78">
        <f>IF(OR($A900="",'Importar Reservas'!M892&lt;&gt;"Aprovado",$D900&lt;=0),"",MAX(0,IF($F900="Margem",$D900-$E900,$D900))*$G900)</f>
        <v/>
      </c>
    </row>
    <row r="901" ht="15" customHeight="1" s="79">
      <c r="A901" s="78">
        <f>IF('Importar Reservas'!A893="","",'Importar Reservas'!A893)</f>
        <v/>
      </c>
      <c r="B901" s="78">
        <f>IF($A901="","",'Importar Reservas'!B893)</f>
        <v/>
      </c>
      <c r="C901" s="78">
        <f>IF($A901="","",'Importar Reservas'!Z893)</f>
        <v/>
      </c>
      <c r="D901" s="78">
        <f>IF($A901="","",IF('Importar Reservas'!O893="",0,'Importar Reservas'!O893))</f>
        <v/>
      </c>
      <c r="E901" s="78">
        <f>IF($A901="","",IF('Importar Reservas'!N893="",0,'Importar Reservas'!N893))</f>
        <v/>
      </c>
      <c r="F901" s="78">
        <f>IF($A901="","",IFERROR(INDEX(Configurações!$C$5:$C$100,MATCH($C901,Configurações!$A$5:$A$100,0)),"Margem"))</f>
        <v/>
      </c>
      <c r="G901" s="78">
        <f>IF($A901="","",IFERROR(INDEX(Configurações!$B$5:$B$100,MATCH($C901,Configurações!$A$5:$A$100,0)),0))</f>
        <v/>
      </c>
      <c r="H901" s="78">
        <f>IF(OR($A901="",'Importar Reservas'!M893&lt;&gt;"Aprovado",$D901&lt;=0),"",MAX(0,IF($F901="Margem",$D901-$E901,$D901))*$G901)</f>
        <v/>
      </c>
    </row>
    <row r="902" ht="15" customHeight="1" s="79">
      <c r="A902" s="78">
        <f>IF('Importar Reservas'!A894="","",'Importar Reservas'!A894)</f>
        <v/>
      </c>
      <c r="B902" s="78">
        <f>IF($A902="","",'Importar Reservas'!B894)</f>
        <v/>
      </c>
      <c r="C902" s="78">
        <f>IF($A902="","",'Importar Reservas'!Z894)</f>
        <v/>
      </c>
      <c r="D902" s="78">
        <f>IF($A902="","",IF('Importar Reservas'!O894="",0,'Importar Reservas'!O894))</f>
        <v/>
      </c>
      <c r="E902" s="78">
        <f>IF($A902="","",IF('Importar Reservas'!N894="",0,'Importar Reservas'!N894))</f>
        <v/>
      </c>
      <c r="F902" s="78">
        <f>IF($A902="","",IFERROR(INDEX(Configurações!$C$5:$C$100,MATCH($C902,Configurações!$A$5:$A$100,0)),"Margem"))</f>
        <v/>
      </c>
      <c r="G902" s="78">
        <f>IF($A902="","",IFERROR(INDEX(Configurações!$B$5:$B$100,MATCH($C902,Configurações!$A$5:$A$100,0)),0))</f>
        <v/>
      </c>
      <c r="H902" s="78">
        <f>IF(OR($A902="",'Importar Reservas'!M894&lt;&gt;"Aprovado",$D902&lt;=0),"",MAX(0,IF($F902="Margem",$D902-$E902,$D902))*$G902)</f>
        <v/>
      </c>
    </row>
    <row r="903" ht="15" customHeight="1" s="79">
      <c r="A903" s="78">
        <f>IF('Importar Reservas'!A895="","",'Importar Reservas'!A895)</f>
        <v/>
      </c>
      <c r="B903" s="78">
        <f>IF($A903="","",'Importar Reservas'!B895)</f>
        <v/>
      </c>
      <c r="C903" s="78">
        <f>IF($A903="","",'Importar Reservas'!Z895)</f>
        <v/>
      </c>
      <c r="D903" s="78">
        <f>IF($A903="","",IF('Importar Reservas'!O895="",0,'Importar Reservas'!O895))</f>
        <v/>
      </c>
      <c r="E903" s="78">
        <f>IF($A903="","",IF('Importar Reservas'!N895="",0,'Importar Reservas'!N895))</f>
        <v/>
      </c>
      <c r="F903" s="78">
        <f>IF($A903="","",IFERROR(INDEX(Configurações!$C$5:$C$100,MATCH($C903,Configurações!$A$5:$A$100,0)),"Margem"))</f>
        <v/>
      </c>
      <c r="G903" s="78">
        <f>IF($A903="","",IFERROR(INDEX(Configurações!$B$5:$B$100,MATCH($C903,Configurações!$A$5:$A$100,0)),0))</f>
        <v/>
      </c>
      <c r="H903" s="78">
        <f>IF(OR($A903="",'Importar Reservas'!M895&lt;&gt;"Aprovado",$D903&lt;=0),"",MAX(0,IF($F903="Margem",$D903-$E903,$D903))*$G903)</f>
        <v/>
      </c>
    </row>
    <row r="904" ht="15" customHeight="1" s="79">
      <c r="A904" s="78">
        <f>IF('Importar Reservas'!A896="","",'Importar Reservas'!A896)</f>
        <v/>
      </c>
      <c r="B904" s="78">
        <f>IF($A904="","",'Importar Reservas'!B896)</f>
        <v/>
      </c>
      <c r="C904" s="78">
        <f>IF($A904="","",'Importar Reservas'!Z896)</f>
        <v/>
      </c>
      <c r="D904" s="78">
        <f>IF($A904="","",IF('Importar Reservas'!O896="",0,'Importar Reservas'!O896))</f>
        <v/>
      </c>
      <c r="E904" s="78">
        <f>IF($A904="","",IF('Importar Reservas'!N896="",0,'Importar Reservas'!N896))</f>
        <v/>
      </c>
      <c r="F904" s="78">
        <f>IF($A904="","",IFERROR(INDEX(Configurações!$C$5:$C$100,MATCH($C904,Configurações!$A$5:$A$100,0)),"Margem"))</f>
        <v/>
      </c>
      <c r="G904" s="78">
        <f>IF($A904="","",IFERROR(INDEX(Configurações!$B$5:$B$100,MATCH($C904,Configurações!$A$5:$A$100,0)),0))</f>
        <v/>
      </c>
      <c r="H904" s="78">
        <f>IF(OR($A904="",'Importar Reservas'!M896&lt;&gt;"Aprovado",$D904&lt;=0),"",MAX(0,IF($F904="Margem",$D904-$E904,$D904))*$G904)</f>
        <v/>
      </c>
    </row>
    <row r="905" ht="15" customHeight="1" s="79">
      <c r="A905" s="78">
        <f>IF('Importar Reservas'!A897="","",'Importar Reservas'!A897)</f>
        <v/>
      </c>
      <c r="B905" s="78">
        <f>IF($A905="","",'Importar Reservas'!B897)</f>
        <v/>
      </c>
      <c r="C905" s="78">
        <f>IF($A905="","",'Importar Reservas'!Z897)</f>
        <v/>
      </c>
      <c r="D905" s="78">
        <f>IF($A905="","",IF('Importar Reservas'!O897="",0,'Importar Reservas'!O897))</f>
        <v/>
      </c>
      <c r="E905" s="78">
        <f>IF($A905="","",IF('Importar Reservas'!N897="",0,'Importar Reservas'!N897))</f>
        <v/>
      </c>
      <c r="F905" s="78">
        <f>IF($A905="","",IFERROR(INDEX(Configurações!$C$5:$C$100,MATCH($C905,Configurações!$A$5:$A$100,0)),"Margem"))</f>
        <v/>
      </c>
      <c r="G905" s="78">
        <f>IF($A905="","",IFERROR(INDEX(Configurações!$B$5:$B$100,MATCH($C905,Configurações!$A$5:$A$100,0)),0))</f>
        <v/>
      </c>
      <c r="H905" s="78">
        <f>IF(OR($A905="",'Importar Reservas'!M897&lt;&gt;"Aprovado",$D905&lt;=0),"",MAX(0,IF($F905="Margem",$D905-$E905,$D905))*$G905)</f>
        <v/>
      </c>
    </row>
    <row r="906" ht="15" customHeight="1" s="79">
      <c r="A906" s="78">
        <f>IF('Importar Reservas'!A898="","",'Importar Reservas'!A898)</f>
        <v/>
      </c>
      <c r="B906" s="78">
        <f>IF($A906="","",'Importar Reservas'!B898)</f>
        <v/>
      </c>
      <c r="C906" s="78">
        <f>IF($A906="","",'Importar Reservas'!Z898)</f>
        <v/>
      </c>
      <c r="D906" s="78">
        <f>IF($A906="","",IF('Importar Reservas'!O898="",0,'Importar Reservas'!O898))</f>
        <v/>
      </c>
      <c r="E906" s="78">
        <f>IF($A906="","",IF('Importar Reservas'!N898="",0,'Importar Reservas'!N898))</f>
        <v/>
      </c>
      <c r="F906" s="78">
        <f>IF($A906="","",IFERROR(INDEX(Configurações!$C$5:$C$100,MATCH($C906,Configurações!$A$5:$A$100,0)),"Margem"))</f>
        <v/>
      </c>
      <c r="G906" s="78">
        <f>IF($A906="","",IFERROR(INDEX(Configurações!$B$5:$B$100,MATCH($C906,Configurações!$A$5:$A$100,0)),0))</f>
        <v/>
      </c>
      <c r="H906" s="78">
        <f>IF(OR($A906="",'Importar Reservas'!M898&lt;&gt;"Aprovado",$D906&lt;=0),"",MAX(0,IF($F906="Margem",$D906-$E906,$D906))*$G906)</f>
        <v/>
      </c>
    </row>
    <row r="907" ht="15" customHeight="1" s="79">
      <c r="A907" s="78">
        <f>IF('Importar Reservas'!A899="","",'Importar Reservas'!A899)</f>
        <v/>
      </c>
      <c r="B907" s="78">
        <f>IF($A907="","",'Importar Reservas'!B899)</f>
        <v/>
      </c>
      <c r="C907" s="78">
        <f>IF($A907="","",'Importar Reservas'!Z899)</f>
        <v/>
      </c>
      <c r="D907" s="78">
        <f>IF($A907="","",IF('Importar Reservas'!O899="",0,'Importar Reservas'!O899))</f>
        <v/>
      </c>
      <c r="E907" s="78">
        <f>IF($A907="","",IF('Importar Reservas'!N899="",0,'Importar Reservas'!N899))</f>
        <v/>
      </c>
      <c r="F907" s="78">
        <f>IF($A907="","",IFERROR(INDEX(Configurações!$C$5:$C$100,MATCH($C907,Configurações!$A$5:$A$100,0)),"Margem"))</f>
        <v/>
      </c>
      <c r="G907" s="78">
        <f>IF($A907="","",IFERROR(INDEX(Configurações!$B$5:$B$100,MATCH($C907,Configurações!$A$5:$A$100,0)),0))</f>
        <v/>
      </c>
      <c r="H907" s="78">
        <f>IF(OR($A907="",'Importar Reservas'!M899&lt;&gt;"Aprovado",$D907&lt;=0),"",MAX(0,IF($F907="Margem",$D907-$E907,$D907))*$G907)</f>
        <v/>
      </c>
    </row>
    <row r="908" ht="15" customHeight="1" s="79">
      <c r="A908" s="78">
        <f>IF('Importar Reservas'!A900="","",'Importar Reservas'!A900)</f>
        <v/>
      </c>
      <c r="B908" s="78">
        <f>IF($A908="","",'Importar Reservas'!B900)</f>
        <v/>
      </c>
      <c r="C908" s="78">
        <f>IF($A908="","",'Importar Reservas'!Z900)</f>
        <v/>
      </c>
      <c r="D908" s="78">
        <f>IF($A908="","",IF('Importar Reservas'!O900="",0,'Importar Reservas'!O900))</f>
        <v/>
      </c>
      <c r="E908" s="78">
        <f>IF($A908="","",IF('Importar Reservas'!N900="",0,'Importar Reservas'!N900))</f>
        <v/>
      </c>
      <c r="F908" s="78">
        <f>IF($A908="","",IFERROR(INDEX(Configurações!$C$5:$C$100,MATCH($C908,Configurações!$A$5:$A$100,0)),"Margem"))</f>
        <v/>
      </c>
      <c r="G908" s="78">
        <f>IF($A908="","",IFERROR(INDEX(Configurações!$B$5:$B$100,MATCH($C908,Configurações!$A$5:$A$100,0)),0))</f>
        <v/>
      </c>
      <c r="H908" s="78">
        <f>IF(OR($A908="",'Importar Reservas'!M900&lt;&gt;"Aprovado",$D908&lt;=0),"",MAX(0,IF($F908="Margem",$D908-$E908,$D908))*$G908)</f>
        <v/>
      </c>
    </row>
    <row r="909" ht="15" customHeight="1" s="79">
      <c r="A909" s="78">
        <f>IF('Importar Reservas'!A901="","",'Importar Reservas'!A901)</f>
        <v/>
      </c>
      <c r="B909" s="78">
        <f>IF($A909="","",'Importar Reservas'!B901)</f>
        <v/>
      </c>
      <c r="C909" s="78">
        <f>IF($A909="","",'Importar Reservas'!Z901)</f>
        <v/>
      </c>
      <c r="D909" s="78">
        <f>IF($A909="","",IF('Importar Reservas'!O901="",0,'Importar Reservas'!O901))</f>
        <v/>
      </c>
      <c r="E909" s="78">
        <f>IF($A909="","",IF('Importar Reservas'!N901="",0,'Importar Reservas'!N901))</f>
        <v/>
      </c>
      <c r="F909" s="78">
        <f>IF($A909="","",IFERROR(INDEX(Configurações!$C$5:$C$100,MATCH($C909,Configurações!$A$5:$A$100,0)),"Margem"))</f>
        <v/>
      </c>
      <c r="G909" s="78">
        <f>IF($A909="","",IFERROR(INDEX(Configurações!$B$5:$B$100,MATCH($C909,Configurações!$A$5:$A$100,0)),0))</f>
        <v/>
      </c>
      <c r="H909" s="78">
        <f>IF(OR($A909="",'Importar Reservas'!M901&lt;&gt;"Aprovado",$D909&lt;=0),"",MAX(0,IF($F909="Margem",$D909-$E909,$D909))*$G909)</f>
        <v/>
      </c>
    </row>
    <row r="910" ht="15" customHeight="1" s="79">
      <c r="A910" s="78">
        <f>IF('Importar Reservas'!A902="","",'Importar Reservas'!A902)</f>
        <v/>
      </c>
      <c r="B910" s="78">
        <f>IF($A910="","",'Importar Reservas'!B902)</f>
        <v/>
      </c>
      <c r="C910" s="78">
        <f>IF($A910="","",'Importar Reservas'!Z902)</f>
        <v/>
      </c>
      <c r="D910" s="78">
        <f>IF($A910="","",IF('Importar Reservas'!O902="",0,'Importar Reservas'!O902))</f>
        <v/>
      </c>
      <c r="E910" s="78">
        <f>IF($A910="","",IF('Importar Reservas'!N902="",0,'Importar Reservas'!N902))</f>
        <v/>
      </c>
      <c r="F910" s="78">
        <f>IF($A910="","",IFERROR(INDEX(Configurações!$C$5:$C$100,MATCH($C910,Configurações!$A$5:$A$100,0)),"Margem"))</f>
        <v/>
      </c>
      <c r="G910" s="78">
        <f>IF($A910="","",IFERROR(INDEX(Configurações!$B$5:$B$100,MATCH($C910,Configurações!$A$5:$A$100,0)),0))</f>
        <v/>
      </c>
      <c r="H910" s="78">
        <f>IF(OR($A910="",'Importar Reservas'!M902&lt;&gt;"Aprovado",$D910&lt;=0),"",MAX(0,IF($F910="Margem",$D910-$E910,$D910))*$G910)</f>
        <v/>
      </c>
    </row>
    <row r="911" ht="15" customHeight="1" s="79">
      <c r="A911" s="78">
        <f>IF('Importar Reservas'!A903="","",'Importar Reservas'!A903)</f>
        <v/>
      </c>
      <c r="B911" s="78">
        <f>IF($A911="","",'Importar Reservas'!B903)</f>
        <v/>
      </c>
      <c r="C911" s="78">
        <f>IF($A911="","",'Importar Reservas'!Z903)</f>
        <v/>
      </c>
      <c r="D911" s="78">
        <f>IF($A911="","",IF('Importar Reservas'!O903="",0,'Importar Reservas'!O903))</f>
        <v/>
      </c>
      <c r="E911" s="78">
        <f>IF($A911="","",IF('Importar Reservas'!N903="",0,'Importar Reservas'!N903))</f>
        <v/>
      </c>
      <c r="F911" s="78">
        <f>IF($A911="","",IFERROR(INDEX(Configurações!$C$5:$C$100,MATCH($C911,Configurações!$A$5:$A$100,0)),"Margem"))</f>
        <v/>
      </c>
      <c r="G911" s="78">
        <f>IF($A911="","",IFERROR(INDEX(Configurações!$B$5:$B$100,MATCH($C911,Configurações!$A$5:$A$100,0)),0))</f>
        <v/>
      </c>
      <c r="H911" s="78">
        <f>IF(OR($A911="",'Importar Reservas'!M903&lt;&gt;"Aprovado",$D911&lt;=0),"",MAX(0,IF($F911="Margem",$D911-$E911,$D911))*$G911)</f>
        <v/>
      </c>
    </row>
    <row r="912" ht="15" customHeight="1" s="79">
      <c r="A912" s="78">
        <f>IF('Importar Reservas'!A904="","",'Importar Reservas'!A904)</f>
        <v/>
      </c>
      <c r="B912" s="78">
        <f>IF($A912="","",'Importar Reservas'!B904)</f>
        <v/>
      </c>
      <c r="C912" s="78">
        <f>IF($A912="","",'Importar Reservas'!Z904)</f>
        <v/>
      </c>
      <c r="D912" s="78">
        <f>IF($A912="","",IF('Importar Reservas'!O904="",0,'Importar Reservas'!O904))</f>
        <v/>
      </c>
      <c r="E912" s="78">
        <f>IF($A912="","",IF('Importar Reservas'!N904="",0,'Importar Reservas'!N904))</f>
        <v/>
      </c>
      <c r="F912" s="78">
        <f>IF($A912="","",IFERROR(INDEX(Configurações!$C$5:$C$100,MATCH($C912,Configurações!$A$5:$A$100,0)),"Margem"))</f>
        <v/>
      </c>
      <c r="G912" s="78">
        <f>IF($A912="","",IFERROR(INDEX(Configurações!$B$5:$B$100,MATCH($C912,Configurações!$A$5:$A$100,0)),0))</f>
        <v/>
      </c>
      <c r="H912" s="78">
        <f>IF(OR($A912="",'Importar Reservas'!M904&lt;&gt;"Aprovado",$D912&lt;=0),"",MAX(0,IF($F912="Margem",$D912-$E912,$D912))*$G912)</f>
        <v/>
      </c>
    </row>
    <row r="913" ht="15" customHeight="1" s="79">
      <c r="A913" s="78">
        <f>IF('Importar Reservas'!A905="","",'Importar Reservas'!A905)</f>
        <v/>
      </c>
      <c r="B913" s="78">
        <f>IF($A913="","",'Importar Reservas'!B905)</f>
        <v/>
      </c>
      <c r="C913" s="78">
        <f>IF($A913="","",'Importar Reservas'!Z905)</f>
        <v/>
      </c>
      <c r="D913" s="78">
        <f>IF($A913="","",IF('Importar Reservas'!O905="",0,'Importar Reservas'!O905))</f>
        <v/>
      </c>
      <c r="E913" s="78">
        <f>IF($A913="","",IF('Importar Reservas'!N905="",0,'Importar Reservas'!N905))</f>
        <v/>
      </c>
      <c r="F913" s="78">
        <f>IF($A913="","",IFERROR(INDEX(Configurações!$C$5:$C$100,MATCH($C913,Configurações!$A$5:$A$100,0)),"Margem"))</f>
        <v/>
      </c>
      <c r="G913" s="78">
        <f>IF($A913="","",IFERROR(INDEX(Configurações!$B$5:$B$100,MATCH($C913,Configurações!$A$5:$A$100,0)),0))</f>
        <v/>
      </c>
      <c r="H913" s="78">
        <f>IF(OR($A913="",'Importar Reservas'!M905&lt;&gt;"Aprovado",$D913&lt;=0),"",MAX(0,IF($F913="Margem",$D913-$E913,$D913))*$G913)</f>
        <v/>
      </c>
    </row>
    <row r="914" ht="15" customHeight="1" s="79">
      <c r="A914" s="78">
        <f>IF('Importar Reservas'!A906="","",'Importar Reservas'!A906)</f>
        <v/>
      </c>
      <c r="B914" s="78">
        <f>IF($A914="","",'Importar Reservas'!B906)</f>
        <v/>
      </c>
      <c r="C914" s="78">
        <f>IF($A914="","",'Importar Reservas'!Z906)</f>
        <v/>
      </c>
      <c r="D914" s="78">
        <f>IF($A914="","",IF('Importar Reservas'!O906="",0,'Importar Reservas'!O906))</f>
        <v/>
      </c>
      <c r="E914" s="78">
        <f>IF($A914="","",IF('Importar Reservas'!N906="",0,'Importar Reservas'!N906))</f>
        <v/>
      </c>
      <c r="F914" s="78">
        <f>IF($A914="","",IFERROR(INDEX(Configurações!$C$5:$C$100,MATCH($C914,Configurações!$A$5:$A$100,0)),"Margem"))</f>
        <v/>
      </c>
      <c r="G914" s="78">
        <f>IF($A914="","",IFERROR(INDEX(Configurações!$B$5:$B$100,MATCH($C914,Configurações!$A$5:$A$100,0)),0))</f>
        <v/>
      </c>
      <c r="H914" s="78">
        <f>IF(OR($A914="",'Importar Reservas'!M906&lt;&gt;"Aprovado",$D914&lt;=0),"",MAX(0,IF($F914="Margem",$D914-$E914,$D914))*$G914)</f>
        <v/>
      </c>
    </row>
    <row r="915" ht="15" customHeight="1" s="79">
      <c r="A915" s="78">
        <f>IF('Importar Reservas'!A907="","",'Importar Reservas'!A907)</f>
        <v/>
      </c>
      <c r="B915" s="78">
        <f>IF($A915="","",'Importar Reservas'!B907)</f>
        <v/>
      </c>
      <c r="C915" s="78">
        <f>IF($A915="","",'Importar Reservas'!Z907)</f>
        <v/>
      </c>
      <c r="D915" s="78">
        <f>IF($A915="","",IF('Importar Reservas'!O907="",0,'Importar Reservas'!O907))</f>
        <v/>
      </c>
      <c r="E915" s="78">
        <f>IF($A915="","",IF('Importar Reservas'!N907="",0,'Importar Reservas'!N907))</f>
        <v/>
      </c>
      <c r="F915" s="78">
        <f>IF($A915="","",IFERROR(INDEX(Configurações!$C$5:$C$100,MATCH($C915,Configurações!$A$5:$A$100,0)),"Margem"))</f>
        <v/>
      </c>
      <c r="G915" s="78">
        <f>IF($A915="","",IFERROR(INDEX(Configurações!$B$5:$B$100,MATCH($C915,Configurações!$A$5:$A$100,0)),0))</f>
        <v/>
      </c>
      <c r="H915" s="78">
        <f>IF(OR($A915="",'Importar Reservas'!M907&lt;&gt;"Aprovado",$D915&lt;=0),"",MAX(0,IF($F915="Margem",$D915-$E915,$D915))*$G915)</f>
        <v/>
      </c>
    </row>
    <row r="916" ht="15" customHeight="1" s="79">
      <c r="A916" s="78">
        <f>IF('Importar Reservas'!A908="","",'Importar Reservas'!A908)</f>
        <v/>
      </c>
      <c r="B916" s="78">
        <f>IF($A916="","",'Importar Reservas'!B908)</f>
        <v/>
      </c>
      <c r="C916" s="78">
        <f>IF($A916="","",'Importar Reservas'!Z908)</f>
        <v/>
      </c>
      <c r="D916" s="78">
        <f>IF($A916="","",IF('Importar Reservas'!O908="",0,'Importar Reservas'!O908))</f>
        <v/>
      </c>
      <c r="E916" s="78">
        <f>IF($A916="","",IF('Importar Reservas'!N908="",0,'Importar Reservas'!N908))</f>
        <v/>
      </c>
      <c r="F916" s="78">
        <f>IF($A916="","",IFERROR(INDEX(Configurações!$C$5:$C$100,MATCH($C916,Configurações!$A$5:$A$100,0)),"Margem"))</f>
        <v/>
      </c>
      <c r="G916" s="78">
        <f>IF($A916="","",IFERROR(INDEX(Configurações!$B$5:$B$100,MATCH($C916,Configurações!$A$5:$A$100,0)),0))</f>
        <v/>
      </c>
      <c r="H916" s="78">
        <f>IF(OR($A916="",'Importar Reservas'!M908&lt;&gt;"Aprovado",$D916&lt;=0),"",MAX(0,IF($F916="Margem",$D916-$E916,$D916))*$G916)</f>
        <v/>
      </c>
    </row>
    <row r="917" ht="15" customHeight="1" s="79">
      <c r="A917" s="78">
        <f>IF('Importar Reservas'!A909="","",'Importar Reservas'!A909)</f>
        <v/>
      </c>
      <c r="B917" s="78">
        <f>IF($A917="","",'Importar Reservas'!B909)</f>
        <v/>
      </c>
      <c r="C917" s="78">
        <f>IF($A917="","",'Importar Reservas'!Z909)</f>
        <v/>
      </c>
      <c r="D917" s="78">
        <f>IF($A917="","",IF('Importar Reservas'!O909="",0,'Importar Reservas'!O909))</f>
        <v/>
      </c>
      <c r="E917" s="78">
        <f>IF($A917="","",IF('Importar Reservas'!N909="",0,'Importar Reservas'!N909))</f>
        <v/>
      </c>
      <c r="F917" s="78">
        <f>IF($A917="","",IFERROR(INDEX(Configurações!$C$5:$C$100,MATCH($C917,Configurações!$A$5:$A$100,0)),"Margem"))</f>
        <v/>
      </c>
      <c r="G917" s="78">
        <f>IF($A917="","",IFERROR(INDEX(Configurações!$B$5:$B$100,MATCH($C917,Configurações!$A$5:$A$100,0)),0))</f>
        <v/>
      </c>
      <c r="H917" s="78">
        <f>IF(OR($A917="",'Importar Reservas'!M909&lt;&gt;"Aprovado",$D917&lt;=0),"",MAX(0,IF($F917="Margem",$D917-$E917,$D917))*$G917)</f>
        <v/>
      </c>
    </row>
    <row r="918" ht="15" customHeight="1" s="79">
      <c r="A918" s="78">
        <f>IF('Importar Reservas'!A910="","",'Importar Reservas'!A910)</f>
        <v/>
      </c>
      <c r="B918" s="78">
        <f>IF($A918="","",'Importar Reservas'!B910)</f>
        <v/>
      </c>
      <c r="C918" s="78">
        <f>IF($A918="","",'Importar Reservas'!Z910)</f>
        <v/>
      </c>
      <c r="D918" s="78">
        <f>IF($A918="","",IF('Importar Reservas'!O910="",0,'Importar Reservas'!O910))</f>
        <v/>
      </c>
      <c r="E918" s="78">
        <f>IF($A918="","",IF('Importar Reservas'!N910="",0,'Importar Reservas'!N910))</f>
        <v/>
      </c>
      <c r="F918" s="78">
        <f>IF($A918="","",IFERROR(INDEX(Configurações!$C$5:$C$100,MATCH($C918,Configurações!$A$5:$A$100,0)),"Margem"))</f>
        <v/>
      </c>
      <c r="G918" s="78">
        <f>IF($A918="","",IFERROR(INDEX(Configurações!$B$5:$B$100,MATCH($C918,Configurações!$A$5:$A$100,0)),0))</f>
        <v/>
      </c>
      <c r="H918" s="78">
        <f>IF(OR($A918="",'Importar Reservas'!M910&lt;&gt;"Aprovado",$D918&lt;=0),"",MAX(0,IF($F918="Margem",$D918-$E918,$D918))*$G918)</f>
        <v/>
      </c>
    </row>
    <row r="919" ht="15" customHeight="1" s="79">
      <c r="A919" s="78">
        <f>IF('Importar Reservas'!A911="","",'Importar Reservas'!A911)</f>
        <v/>
      </c>
      <c r="B919" s="78">
        <f>IF($A919="","",'Importar Reservas'!B911)</f>
        <v/>
      </c>
      <c r="C919" s="78">
        <f>IF($A919="","",'Importar Reservas'!Z911)</f>
        <v/>
      </c>
      <c r="D919" s="78">
        <f>IF($A919="","",IF('Importar Reservas'!O911="",0,'Importar Reservas'!O911))</f>
        <v/>
      </c>
      <c r="E919" s="78">
        <f>IF($A919="","",IF('Importar Reservas'!N911="",0,'Importar Reservas'!N911))</f>
        <v/>
      </c>
      <c r="F919" s="78">
        <f>IF($A919="","",IFERROR(INDEX(Configurações!$C$5:$C$100,MATCH($C919,Configurações!$A$5:$A$100,0)),"Margem"))</f>
        <v/>
      </c>
      <c r="G919" s="78">
        <f>IF($A919="","",IFERROR(INDEX(Configurações!$B$5:$B$100,MATCH($C919,Configurações!$A$5:$A$100,0)),0))</f>
        <v/>
      </c>
      <c r="H919" s="78">
        <f>IF(OR($A919="",'Importar Reservas'!M911&lt;&gt;"Aprovado",$D919&lt;=0),"",MAX(0,IF($F919="Margem",$D919-$E919,$D919))*$G919)</f>
        <v/>
      </c>
    </row>
    <row r="920" ht="15" customHeight="1" s="79">
      <c r="A920" s="78">
        <f>IF('Importar Reservas'!A912="","",'Importar Reservas'!A912)</f>
        <v/>
      </c>
      <c r="B920" s="78">
        <f>IF($A920="","",'Importar Reservas'!B912)</f>
        <v/>
      </c>
      <c r="C920" s="78">
        <f>IF($A920="","",'Importar Reservas'!Z912)</f>
        <v/>
      </c>
      <c r="D920" s="78">
        <f>IF($A920="","",IF('Importar Reservas'!O912="",0,'Importar Reservas'!O912))</f>
        <v/>
      </c>
      <c r="E920" s="78">
        <f>IF($A920="","",IF('Importar Reservas'!N912="",0,'Importar Reservas'!N912))</f>
        <v/>
      </c>
      <c r="F920" s="78">
        <f>IF($A920="","",IFERROR(INDEX(Configurações!$C$5:$C$100,MATCH($C920,Configurações!$A$5:$A$100,0)),"Margem"))</f>
        <v/>
      </c>
      <c r="G920" s="78">
        <f>IF($A920="","",IFERROR(INDEX(Configurações!$B$5:$B$100,MATCH($C920,Configurações!$A$5:$A$100,0)),0))</f>
        <v/>
      </c>
      <c r="H920" s="78">
        <f>IF(OR($A920="",'Importar Reservas'!M912&lt;&gt;"Aprovado",$D920&lt;=0),"",MAX(0,IF($F920="Margem",$D920-$E920,$D920))*$G920)</f>
        <v/>
      </c>
    </row>
    <row r="921" ht="15" customHeight="1" s="79">
      <c r="A921" s="78">
        <f>IF('Importar Reservas'!A913="","",'Importar Reservas'!A913)</f>
        <v/>
      </c>
      <c r="B921" s="78">
        <f>IF($A921="","",'Importar Reservas'!B913)</f>
        <v/>
      </c>
      <c r="C921" s="78">
        <f>IF($A921="","",'Importar Reservas'!Z913)</f>
        <v/>
      </c>
      <c r="D921" s="78">
        <f>IF($A921="","",IF('Importar Reservas'!O913="",0,'Importar Reservas'!O913))</f>
        <v/>
      </c>
      <c r="E921" s="78">
        <f>IF($A921="","",IF('Importar Reservas'!N913="",0,'Importar Reservas'!N913))</f>
        <v/>
      </c>
      <c r="F921" s="78">
        <f>IF($A921="","",IFERROR(INDEX(Configurações!$C$5:$C$100,MATCH($C921,Configurações!$A$5:$A$100,0)),"Margem"))</f>
        <v/>
      </c>
      <c r="G921" s="78">
        <f>IF($A921="","",IFERROR(INDEX(Configurações!$B$5:$B$100,MATCH($C921,Configurações!$A$5:$A$100,0)),0))</f>
        <v/>
      </c>
      <c r="H921" s="78">
        <f>IF(OR($A921="",'Importar Reservas'!M913&lt;&gt;"Aprovado",$D921&lt;=0),"",MAX(0,IF($F921="Margem",$D921-$E921,$D921))*$G921)</f>
        <v/>
      </c>
    </row>
    <row r="922" ht="15" customHeight="1" s="79">
      <c r="A922" s="78">
        <f>IF('Importar Reservas'!A914="","",'Importar Reservas'!A914)</f>
        <v/>
      </c>
      <c r="B922" s="78">
        <f>IF($A922="","",'Importar Reservas'!B914)</f>
        <v/>
      </c>
      <c r="C922" s="78">
        <f>IF($A922="","",'Importar Reservas'!Z914)</f>
        <v/>
      </c>
      <c r="D922" s="78">
        <f>IF($A922="","",IF('Importar Reservas'!O914="",0,'Importar Reservas'!O914))</f>
        <v/>
      </c>
      <c r="E922" s="78">
        <f>IF($A922="","",IF('Importar Reservas'!N914="",0,'Importar Reservas'!N914))</f>
        <v/>
      </c>
      <c r="F922" s="78">
        <f>IF($A922="","",IFERROR(INDEX(Configurações!$C$5:$C$100,MATCH($C922,Configurações!$A$5:$A$100,0)),"Margem"))</f>
        <v/>
      </c>
      <c r="G922" s="78">
        <f>IF($A922="","",IFERROR(INDEX(Configurações!$B$5:$B$100,MATCH($C922,Configurações!$A$5:$A$100,0)),0))</f>
        <v/>
      </c>
      <c r="H922" s="78">
        <f>IF(OR($A922="",'Importar Reservas'!M914&lt;&gt;"Aprovado",$D922&lt;=0),"",MAX(0,IF($F922="Margem",$D922-$E922,$D922))*$G922)</f>
        <v/>
      </c>
    </row>
    <row r="923" ht="15" customHeight="1" s="79">
      <c r="A923" s="78">
        <f>IF('Importar Reservas'!A915="","",'Importar Reservas'!A915)</f>
        <v/>
      </c>
      <c r="B923" s="78">
        <f>IF($A923="","",'Importar Reservas'!B915)</f>
        <v/>
      </c>
      <c r="C923" s="78">
        <f>IF($A923="","",'Importar Reservas'!Z915)</f>
        <v/>
      </c>
      <c r="D923" s="78">
        <f>IF($A923="","",IF('Importar Reservas'!O915="",0,'Importar Reservas'!O915))</f>
        <v/>
      </c>
      <c r="E923" s="78">
        <f>IF($A923="","",IF('Importar Reservas'!N915="",0,'Importar Reservas'!N915))</f>
        <v/>
      </c>
      <c r="F923" s="78">
        <f>IF($A923="","",IFERROR(INDEX(Configurações!$C$5:$C$100,MATCH($C923,Configurações!$A$5:$A$100,0)),"Margem"))</f>
        <v/>
      </c>
      <c r="G923" s="78">
        <f>IF($A923="","",IFERROR(INDEX(Configurações!$B$5:$B$100,MATCH($C923,Configurações!$A$5:$A$100,0)),0))</f>
        <v/>
      </c>
      <c r="H923" s="78">
        <f>IF(OR($A923="",'Importar Reservas'!M915&lt;&gt;"Aprovado",$D923&lt;=0),"",MAX(0,IF($F923="Margem",$D923-$E923,$D923))*$G923)</f>
        <v/>
      </c>
    </row>
    <row r="924" ht="15" customHeight="1" s="79">
      <c r="A924" s="78">
        <f>IF('Importar Reservas'!A916="","",'Importar Reservas'!A916)</f>
        <v/>
      </c>
      <c r="B924" s="78">
        <f>IF($A924="","",'Importar Reservas'!B916)</f>
        <v/>
      </c>
      <c r="C924" s="78">
        <f>IF($A924="","",'Importar Reservas'!Z916)</f>
        <v/>
      </c>
      <c r="D924" s="78">
        <f>IF($A924="","",IF('Importar Reservas'!O916="",0,'Importar Reservas'!O916))</f>
        <v/>
      </c>
      <c r="E924" s="78">
        <f>IF($A924="","",IF('Importar Reservas'!N916="",0,'Importar Reservas'!N916))</f>
        <v/>
      </c>
      <c r="F924" s="78">
        <f>IF($A924="","",IFERROR(INDEX(Configurações!$C$5:$C$100,MATCH($C924,Configurações!$A$5:$A$100,0)),"Margem"))</f>
        <v/>
      </c>
      <c r="G924" s="78">
        <f>IF($A924="","",IFERROR(INDEX(Configurações!$B$5:$B$100,MATCH($C924,Configurações!$A$5:$A$100,0)),0))</f>
        <v/>
      </c>
      <c r="H924" s="78">
        <f>IF(OR($A924="",'Importar Reservas'!M916&lt;&gt;"Aprovado",$D924&lt;=0),"",MAX(0,IF($F924="Margem",$D924-$E924,$D924))*$G924)</f>
        <v/>
      </c>
    </row>
    <row r="925" ht="15" customHeight="1" s="79">
      <c r="A925" s="78">
        <f>IF('Importar Reservas'!A917="","",'Importar Reservas'!A917)</f>
        <v/>
      </c>
      <c r="B925" s="78">
        <f>IF($A925="","",'Importar Reservas'!B917)</f>
        <v/>
      </c>
      <c r="C925" s="78">
        <f>IF($A925="","",'Importar Reservas'!Z917)</f>
        <v/>
      </c>
      <c r="D925" s="78">
        <f>IF($A925="","",IF('Importar Reservas'!O917="",0,'Importar Reservas'!O917))</f>
        <v/>
      </c>
      <c r="E925" s="78">
        <f>IF($A925="","",IF('Importar Reservas'!N917="",0,'Importar Reservas'!N917))</f>
        <v/>
      </c>
      <c r="F925" s="78">
        <f>IF($A925="","",IFERROR(INDEX(Configurações!$C$5:$C$100,MATCH($C925,Configurações!$A$5:$A$100,0)),"Margem"))</f>
        <v/>
      </c>
      <c r="G925" s="78">
        <f>IF($A925="","",IFERROR(INDEX(Configurações!$B$5:$B$100,MATCH($C925,Configurações!$A$5:$A$100,0)),0))</f>
        <v/>
      </c>
      <c r="H925" s="78">
        <f>IF(OR($A925="",'Importar Reservas'!M917&lt;&gt;"Aprovado",$D925&lt;=0),"",MAX(0,IF($F925="Margem",$D925-$E925,$D925))*$G925)</f>
        <v/>
      </c>
    </row>
    <row r="926" ht="15" customHeight="1" s="79">
      <c r="A926" s="78">
        <f>IF('Importar Reservas'!A918="","",'Importar Reservas'!A918)</f>
        <v/>
      </c>
      <c r="B926" s="78">
        <f>IF($A926="","",'Importar Reservas'!B918)</f>
        <v/>
      </c>
      <c r="C926" s="78">
        <f>IF($A926="","",'Importar Reservas'!Z918)</f>
        <v/>
      </c>
      <c r="D926" s="78">
        <f>IF($A926="","",IF('Importar Reservas'!O918="",0,'Importar Reservas'!O918))</f>
        <v/>
      </c>
      <c r="E926" s="78">
        <f>IF($A926="","",IF('Importar Reservas'!N918="",0,'Importar Reservas'!N918))</f>
        <v/>
      </c>
      <c r="F926" s="78">
        <f>IF($A926="","",IFERROR(INDEX(Configurações!$C$5:$C$100,MATCH($C926,Configurações!$A$5:$A$100,0)),"Margem"))</f>
        <v/>
      </c>
      <c r="G926" s="78">
        <f>IF($A926="","",IFERROR(INDEX(Configurações!$B$5:$B$100,MATCH($C926,Configurações!$A$5:$A$100,0)),0))</f>
        <v/>
      </c>
      <c r="H926" s="78">
        <f>IF(OR($A926="",'Importar Reservas'!M918&lt;&gt;"Aprovado",$D926&lt;=0),"",MAX(0,IF($F926="Margem",$D926-$E926,$D926))*$G926)</f>
        <v/>
      </c>
    </row>
    <row r="927" ht="15" customHeight="1" s="79">
      <c r="A927" s="78">
        <f>IF('Importar Reservas'!A919="","",'Importar Reservas'!A919)</f>
        <v/>
      </c>
      <c r="B927" s="78">
        <f>IF($A927="","",'Importar Reservas'!B919)</f>
        <v/>
      </c>
      <c r="C927" s="78">
        <f>IF($A927="","",'Importar Reservas'!Z919)</f>
        <v/>
      </c>
      <c r="D927" s="78">
        <f>IF($A927="","",IF('Importar Reservas'!O919="",0,'Importar Reservas'!O919))</f>
        <v/>
      </c>
      <c r="E927" s="78">
        <f>IF($A927="","",IF('Importar Reservas'!N919="",0,'Importar Reservas'!N919))</f>
        <v/>
      </c>
      <c r="F927" s="78">
        <f>IF($A927="","",IFERROR(INDEX(Configurações!$C$5:$C$100,MATCH($C927,Configurações!$A$5:$A$100,0)),"Margem"))</f>
        <v/>
      </c>
      <c r="G927" s="78">
        <f>IF($A927="","",IFERROR(INDEX(Configurações!$B$5:$B$100,MATCH($C927,Configurações!$A$5:$A$100,0)),0))</f>
        <v/>
      </c>
      <c r="H927" s="78">
        <f>IF(OR($A927="",'Importar Reservas'!M919&lt;&gt;"Aprovado",$D927&lt;=0),"",MAX(0,IF($F927="Margem",$D927-$E927,$D927))*$G927)</f>
        <v/>
      </c>
    </row>
    <row r="928" ht="15" customHeight="1" s="79">
      <c r="A928" s="78">
        <f>IF('Importar Reservas'!A920="","",'Importar Reservas'!A920)</f>
        <v/>
      </c>
      <c r="B928" s="78">
        <f>IF($A928="","",'Importar Reservas'!B920)</f>
        <v/>
      </c>
      <c r="C928" s="78">
        <f>IF($A928="","",'Importar Reservas'!Z920)</f>
        <v/>
      </c>
      <c r="D928" s="78">
        <f>IF($A928="","",IF('Importar Reservas'!O920="",0,'Importar Reservas'!O920))</f>
        <v/>
      </c>
      <c r="E928" s="78">
        <f>IF($A928="","",IF('Importar Reservas'!N920="",0,'Importar Reservas'!N920))</f>
        <v/>
      </c>
      <c r="F928" s="78">
        <f>IF($A928="","",IFERROR(INDEX(Configurações!$C$5:$C$100,MATCH($C928,Configurações!$A$5:$A$100,0)),"Margem"))</f>
        <v/>
      </c>
      <c r="G928" s="78">
        <f>IF($A928="","",IFERROR(INDEX(Configurações!$B$5:$B$100,MATCH($C928,Configurações!$A$5:$A$100,0)),0))</f>
        <v/>
      </c>
      <c r="H928" s="78">
        <f>IF(OR($A928="",'Importar Reservas'!M920&lt;&gt;"Aprovado",$D928&lt;=0),"",MAX(0,IF($F928="Margem",$D928-$E928,$D928))*$G928)</f>
        <v/>
      </c>
    </row>
    <row r="929" ht="15" customHeight="1" s="79">
      <c r="A929" s="78">
        <f>IF('Importar Reservas'!A921="","",'Importar Reservas'!A921)</f>
        <v/>
      </c>
      <c r="B929" s="78">
        <f>IF($A929="","",'Importar Reservas'!B921)</f>
        <v/>
      </c>
      <c r="C929" s="78">
        <f>IF($A929="","",'Importar Reservas'!Z921)</f>
        <v/>
      </c>
      <c r="D929" s="78">
        <f>IF($A929="","",IF('Importar Reservas'!O921="",0,'Importar Reservas'!O921))</f>
        <v/>
      </c>
      <c r="E929" s="78">
        <f>IF($A929="","",IF('Importar Reservas'!N921="",0,'Importar Reservas'!N921))</f>
        <v/>
      </c>
      <c r="F929" s="78">
        <f>IF($A929="","",IFERROR(INDEX(Configurações!$C$5:$C$100,MATCH($C929,Configurações!$A$5:$A$100,0)),"Margem"))</f>
        <v/>
      </c>
      <c r="G929" s="78">
        <f>IF($A929="","",IFERROR(INDEX(Configurações!$B$5:$B$100,MATCH($C929,Configurações!$A$5:$A$100,0)),0))</f>
        <v/>
      </c>
      <c r="H929" s="78">
        <f>IF(OR($A929="",'Importar Reservas'!M921&lt;&gt;"Aprovado",$D929&lt;=0),"",MAX(0,IF($F929="Margem",$D929-$E929,$D929))*$G929)</f>
        <v/>
      </c>
    </row>
    <row r="930" ht="15" customHeight="1" s="79">
      <c r="A930" s="78">
        <f>IF('Importar Reservas'!A922="","",'Importar Reservas'!A922)</f>
        <v/>
      </c>
      <c r="B930" s="78">
        <f>IF($A930="","",'Importar Reservas'!B922)</f>
        <v/>
      </c>
      <c r="C930" s="78">
        <f>IF($A930="","",'Importar Reservas'!Z922)</f>
        <v/>
      </c>
      <c r="D930" s="78">
        <f>IF($A930="","",IF('Importar Reservas'!O922="",0,'Importar Reservas'!O922))</f>
        <v/>
      </c>
      <c r="E930" s="78">
        <f>IF($A930="","",IF('Importar Reservas'!N922="",0,'Importar Reservas'!N922))</f>
        <v/>
      </c>
      <c r="F930" s="78">
        <f>IF($A930="","",IFERROR(INDEX(Configurações!$C$5:$C$100,MATCH($C930,Configurações!$A$5:$A$100,0)),"Margem"))</f>
        <v/>
      </c>
      <c r="G930" s="78">
        <f>IF($A930="","",IFERROR(INDEX(Configurações!$B$5:$B$100,MATCH($C930,Configurações!$A$5:$A$100,0)),0))</f>
        <v/>
      </c>
      <c r="H930" s="78">
        <f>IF(OR($A930="",'Importar Reservas'!M922&lt;&gt;"Aprovado",$D930&lt;=0),"",MAX(0,IF($F930="Margem",$D930-$E930,$D930))*$G930)</f>
        <v/>
      </c>
    </row>
    <row r="931" ht="15" customHeight="1" s="79">
      <c r="A931" s="78">
        <f>IF('Importar Reservas'!A923="","",'Importar Reservas'!A923)</f>
        <v/>
      </c>
      <c r="B931" s="78">
        <f>IF($A931="","",'Importar Reservas'!B923)</f>
        <v/>
      </c>
      <c r="C931" s="78">
        <f>IF($A931="","",'Importar Reservas'!Z923)</f>
        <v/>
      </c>
      <c r="D931" s="78">
        <f>IF($A931="","",IF('Importar Reservas'!O923="",0,'Importar Reservas'!O923))</f>
        <v/>
      </c>
      <c r="E931" s="78">
        <f>IF($A931="","",IF('Importar Reservas'!N923="",0,'Importar Reservas'!N923))</f>
        <v/>
      </c>
      <c r="F931" s="78">
        <f>IF($A931="","",IFERROR(INDEX(Configurações!$C$5:$C$100,MATCH($C931,Configurações!$A$5:$A$100,0)),"Margem"))</f>
        <v/>
      </c>
      <c r="G931" s="78">
        <f>IF($A931="","",IFERROR(INDEX(Configurações!$B$5:$B$100,MATCH($C931,Configurações!$A$5:$A$100,0)),0))</f>
        <v/>
      </c>
      <c r="H931" s="78">
        <f>IF(OR($A931="",'Importar Reservas'!M923&lt;&gt;"Aprovado",$D931&lt;=0),"",MAX(0,IF($F931="Margem",$D931-$E931,$D931))*$G931)</f>
        <v/>
      </c>
    </row>
    <row r="932" ht="15" customHeight="1" s="79">
      <c r="A932" s="78">
        <f>IF('Importar Reservas'!A924="","",'Importar Reservas'!A924)</f>
        <v/>
      </c>
      <c r="B932" s="78">
        <f>IF($A932="","",'Importar Reservas'!B924)</f>
        <v/>
      </c>
      <c r="C932" s="78">
        <f>IF($A932="","",'Importar Reservas'!Z924)</f>
        <v/>
      </c>
      <c r="D932" s="78">
        <f>IF($A932="","",IF('Importar Reservas'!O924="",0,'Importar Reservas'!O924))</f>
        <v/>
      </c>
      <c r="E932" s="78">
        <f>IF($A932="","",IF('Importar Reservas'!N924="",0,'Importar Reservas'!N924))</f>
        <v/>
      </c>
      <c r="F932" s="78">
        <f>IF($A932="","",IFERROR(INDEX(Configurações!$C$5:$C$100,MATCH($C932,Configurações!$A$5:$A$100,0)),"Margem"))</f>
        <v/>
      </c>
      <c r="G932" s="78">
        <f>IF($A932="","",IFERROR(INDEX(Configurações!$B$5:$B$100,MATCH($C932,Configurações!$A$5:$A$100,0)),0))</f>
        <v/>
      </c>
      <c r="H932" s="78">
        <f>IF(OR($A932="",'Importar Reservas'!M924&lt;&gt;"Aprovado",$D932&lt;=0),"",MAX(0,IF($F932="Margem",$D932-$E932,$D932))*$G932)</f>
        <v/>
      </c>
    </row>
    <row r="933" ht="15" customHeight="1" s="79">
      <c r="A933" s="78">
        <f>IF('Importar Reservas'!A925="","",'Importar Reservas'!A925)</f>
        <v/>
      </c>
      <c r="B933" s="78">
        <f>IF($A933="","",'Importar Reservas'!B925)</f>
        <v/>
      </c>
      <c r="C933" s="78">
        <f>IF($A933="","",'Importar Reservas'!Z925)</f>
        <v/>
      </c>
      <c r="D933" s="78">
        <f>IF($A933="","",IF('Importar Reservas'!O925="",0,'Importar Reservas'!O925))</f>
        <v/>
      </c>
      <c r="E933" s="78">
        <f>IF($A933="","",IF('Importar Reservas'!N925="",0,'Importar Reservas'!N925))</f>
        <v/>
      </c>
      <c r="F933" s="78">
        <f>IF($A933="","",IFERROR(INDEX(Configurações!$C$5:$C$100,MATCH($C933,Configurações!$A$5:$A$100,0)),"Margem"))</f>
        <v/>
      </c>
      <c r="G933" s="78">
        <f>IF($A933="","",IFERROR(INDEX(Configurações!$B$5:$B$100,MATCH($C933,Configurações!$A$5:$A$100,0)),0))</f>
        <v/>
      </c>
      <c r="H933" s="78">
        <f>IF(OR($A933="",'Importar Reservas'!M925&lt;&gt;"Aprovado",$D933&lt;=0),"",MAX(0,IF($F933="Margem",$D933-$E933,$D933))*$G933)</f>
        <v/>
      </c>
    </row>
    <row r="934" ht="15" customHeight="1" s="79">
      <c r="A934" s="78">
        <f>IF('Importar Reservas'!A926="","",'Importar Reservas'!A926)</f>
        <v/>
      </c>
      <c r="B934" s="78">
        <f>IF($A934="","",'Importar Reservas'!B926)</f>
        <v/>
      </c>
      <c r="C934" s="78">
        <f>IF($A934="","",'Importar Reservas'!Z926)</f>
        <v/>
      </c>
      <c r="D934" s="78">
        <f>IF($A934="","",IF('Importar Reservas'!O926="",0,'Importar Reservas'!O926))</f>
        <v/>
      </c>
      <c r="E934" s="78">
        <f>IF($A934="","",IF('Importar Reservas'!N926="",0,'Importar Reservas'!N926))</f>
        <v/>
      </c>
      <c r="F934" s="78">
        <f>IF($A934="","",IFERROR(INDEX(Configurações!$C$5:$C$100,MATCH($C934,Configurações!$A$5:$A$100,0)),"Margem"))</f>
        <v/>
      </c>
      <c r="G934" s="78">
        <f>IF($A934="","",IFERROR(INDEX(Configurações!$B$5:$B$100,MATCH($C934,Configurações!$A$5:$A$100,0)),0))</f>
        <v/>
      </c>
      <c r="H934" s="78">
        <f>IF(OR($A934="",'Importar Reservas'!M926&lt;&gt;"Aprovado",$D934&lt;=0),"",MAX(0,IF($F934="Margem",$D934-$E934,$D934))*$G934)</f>
        <v/>
      </c>
    </row>
    <row r="935" ht="15" customHeight="1" s="79">
      <c r="A935" s="78">
        <f>IF('Importar Reservas'!A927="","",'Importar Reservas'!A927)</f>
        <v/>
      </c>
      <c r="B935" s="78">
        <f>IF($A935="","",'Importar Reservas'!B927)</f>
        <v/>
      </c>
      <c r="C935" s="78">
        <f>IF($A935="","",'Importar Reservas'!Z927)</f>
        <v/>
      </c>
      <c r="D935" s="78">
        <f>IF($A935="","",IF('Importar Reservas'!O927="",0,'Importar Reservas'!O927))</f>
        <v/>
      </c>
      <c r="E935" s="78">
        <f>IF($A935="","",IF('Importar Reservas'!N927="",0,'Importar Reservas'!N927))</f>
        <v/>
      </c>
      <c r="F935" s="78">
        <f>IF($A935="","",IFERROR(INDEX(Configurações!$C$5:$C$100,MATCH($C935,Configurações!$A$5:$A$100,0)),"Margem"))</f>
        <v/>
      </c>
      <c r="G935" s="78">
        <f>IF($A935="","",IFERROR(INDEX(Configurações!$B$5:$B$100,MATCH($C935,Configurações!$A$5:$A$100,0)),0))</f>
        <v/>
      </c>
      <c r="H935" s="78">
        <f>IF(OR($A935="",'Importar Reservas'!M927&lt;&gt;"Aprovado",$D935&lt;=0),"",MAX(0,IF($F935="Margem",$D935-$E935,$D935))*$G935)</f>
        <v/>
      </c>
    </row>
    <row r="936" ht="15" customHeight="1" s="79">
      <c r="A936" s="78">
        <f>IF('Importar Reservas'!A928="","",'Importar Reservas'!A928)</f>
        <v/>
      </c>
      <c r="B936" s="78">
        <f>IF($A936="","",'Importar Reservas'!B928)</f>
        <v/>
      </c>
      <c r="C936" s="78">
        <f>IF($A936="","",'Importar Reservas'!Z928)</f>
        <v/>
      </c>
      <c r="D936" s="78">
        <f>IF($A936="","",IF('Importar Reservas'!O928="",0,'Importar Reservas'!O928))</f>
        <v/>
      </c>
      <c r="E936" s="78">
        <f>IF($A936="","",IF('Importar Reservas'!N928="",0,'Importar Reservas'!N928))</f>
        <v/>
      </c>
      <c r="F936" s="78">
        <f>IF($A936="","",IFERROR(INDEX(Configurações!$C$5:$C$100,MATCH($C936,Configurações!$A$5:$A$100,0)),"Margem"))</f>
        <v/>
      </c>
      <c r="G936" s="78">
        <f>IF($A936="","",IFERROR(INDEX(Configurações!$B$5:$B$100,MATCH($C936,Configurações!$A$5:$A$100,0)),0))</f>
        <v/>
      </c>
      <c r="H936" s="78">
        <f>IF(OR($A936="",'Importar Reservas'!M928&lt;&gt;"Aprovado",$D936&lt;=0),"",MAX(0,IF($F936="Margem",$D936-$E936,$D936))*$G936)</f>
        <v/>
      </c>
    </row>
    <row r="937" ht="15" customHeight="1" s="79">
      <c r="A937" s="78">
        <f>IF('Importar Reservas'!A929="","",'Importar Reservas'!A929)</f>
        <v/>
      </c>
      <c r="B937" s="78">
        <f>IF($A937="","",'Importar Reservas'!B929)</f>
        <v/>
      </c>
      <c r="C937" s="78">
        <f>IF($A937="","",'Importar Reservas'!Z929)</f>
        <v/>
      </c>
      <c r="D937" s="78">
        <f>IF($A937="","",IF('Importar Reservas'!O929="",0,'Importar Reservas'!O929))</f>
        <v/>
      </c>
      <c r="E937" s="78">
        <f>IF($A937="","",IF('Importar Reservas'!N929="",0,'Importar Reservas'!N929))</f>
        <v/>
      </c>
      <c r="F937" s="78">
        <f>IF($A937="","",IFERROR(INDEX(Configurações!$C$5:$C$100,MATCH($C937,Configurações!$A$5:$A$100,0)),"Margem"))</f>
        <v/>
      </c>
      <c r="G937" s="78">
        <f>IF($A937="","",IFERROR(INDEX(Configurações!$B$5:$B$100,MATCH($C937,Configurações!$A$5:$A$100,0)),0))</f>
        <v/>
      </c>
      <c r="H937" s="78">
        <f>IF(OR($A937="",'Importar Reservas'!M929&lt;&gt;"Aprovado",$D937&lt;=0),"",MAX(0,IF($F937="Margem",$D937-$E937,$D937))*$G937)</f>
        <v/>
      </c>
    </row>
    <row r="938" ht="15" customHeight="1" s="79">
      <c r="A938" s="78">
        <f>IF('Importar Reservas'!A930="","",'Importar Reservas'!A930)</f>
        <v/>
      </c>
      <c r="B938" s="78">
        <f>IF($A938="","",'Importar Reservas'!B930)</f>
        <v/>
      </c>
      <c r="C938" s="78">
        <f>IF($A938="","",'Importar Reservas'!Z930)</f>
        <v/>
      </c>
      <c r="D938" s="78">
        <f>IF($A938="","",IF('Importar Reservas'!O930="",0,'Importar Reservas'!O930))</f>
        <v/>
      </c>
      <c r="E938" s="78">
        <f>IF($A938="","",IF('Importar Reservas'!N930="",0,'Importar Reservas'!N930))</f>
        <v/>
      </c>
      <c r="F938" s="78">
        <f>IF($A938="","",IFERROR(INDEX(Configurações!$C$5:$C$100,MATCH($C938,Configurações!$A$5:$A$100,0)),"Margem"))</f>
        <v/>
      </c>
      <c r="G938" s="78">
        <f>IF($A938="","",IFERROR(INDEX(Configurações!$B$5:$B$100,MATCH($C938,Configurações!$A$5:$A$100,0)),0))</f>
        <v/>
      </c>
      <c r="H938" s="78">
        <f>IF(OR($A938="",'Importar Reservas'!M930&lt;&gt;"Aprovado",$D938&lt;=0),"",MAX(0,IF($F938="Margem",$D938-$E938,$D938))*$G938)</f>
        <v/>
      </c>
    </row>
    <row r="939" ht="15" customHeight="1" s="79">
      <c r="A939" s="78">
        <f>IF('Importar Reservas'!A931="","",'Importar Reservas'!A931)</f>
        <v/>
      </c>
      <c r="B939" s="78">
        <f>IF($A939="","",'Importar Reservas'!B931)</f>
        <v/>
      </c>
      <c r="C939" s="78">
        <f>IF($A939="","",'Importar Reservas'!Z931)</f>
        <v/>
      </c>
      <c r="D939" s="78">
        <f>IF($A939="","",IF('Importar Reservas'!O931="",0,'Importar Reservas'!O931))</f>
        <v/>
      </c>
      <c r="E939" s="78">
        <f>IF($A939="","",IF('Importar Reservas'!N931="",0,'Importar Reservas'!N931))</f>
        <v/>
      </c>
      <c r="F939" s="78">
        <f>IF($A939="","",IFERROR(INDEX(Configurações!$C$5:$C$100,MATCH($C939,Configurações!$A$5:$A$100,0)),"Margem"))</f>
        <v/>
      </c>
      <c r="G939" s="78">
        <f>IF($A939="","",IFERROR(INDEX(Configurações!$B$5:$B$100,MATCH($C939,Configurações!$A$5:$A$100,0)),0))</f>
        <v/>
      </c>
      <c r="H939" s="78">
        <f>IF(OR($A939="",'Importar Reservas'!M931&lt;&gt;"Aprovado",$D939&lt;=0),"",MAX(0,IF($F939="Margem",$D939-$E939,$D939))*$G939)</f>
        <v/>
      </c>
    </row>
    <row r="940" ht="15" customHeight="1" s="79">
      <c r="A940" s="78">
        <f>IF('Importar Reservas'!A932="","",'Importar Reservas'!A932)</f>
        <v/>
      </c>
      <c r="B940" s="78">
        <f>IF($A940="","",'Importar Reservas'!B932)</f>
        <v/>
      </c>
      <c r="C940" s="78">
        <f>IF($A940="","",'Importar Reservas'!Z932)</f>
        <v/>
      </c>
      <c r="D940" s="78">
        <f>IF($A940="","",IF('Importar Reservas'!O932="",0,'Importar Reservas'!O932))</f>
        <v/>
      </c>
      <c r="E940" s="78">
        <f>IF($A940="","",IF('Importar Reservas'!N932="",0,'Importar Reservas'!N932))</f>
        <v/>
      </c>
      <c r="F940" s="78">
        <f>IF($A940="","",IFERROR(INDEX(Configurações!$C$5:$C$100,MATCH($C940,Configurações!$A$5:$A$100,0)),"Margem"))</f>
        <v/>
      </c>
      <c r="G940" s="78">
        <f>IF($A940="","",IFERROR(INDEX(Configurações!$B$5:$B$100,MATCH($C940,Configurações!$A$5:$A$100,0)),0))</f>
        <v/>
      </c>
      <c r="H940" s="78">
        <f>IF(OR($A940="",'Importar Reservas'!M932&lt;&gt;"Aprovado",$D940&lt;=0),"",MAX(0,IF($F940="Margem",$D940-$E940,$D940))*$G940)</f>
        <v/>
      </c>
    </row>
    <row r="941" ht="15" customHeight="1" s="79">
      <c r="A941" s="78">
        <f>IF('Importar Reservas'!A933="","",'Importar Reservas'!A933)</f>
        <v/>
      </c>
      <c r="B941" s="78">
        <f>IF($A941="","",'Importar Reservas'!B933)</f>
        <v/>
      </c>
      <c r="C941" s="78">
        <f>IF($A941="","",'Importar Reservas'!Z933)</f>
        <v/>
      </c>
      <c r="D941" s="78">
        <f>IF($A941="","",IF('Importar Reservas'!O933="",0,'Importar Reservas'!O933))</f>
        <v/>
      </c>
      <c r="E941" s="78">
        <f>IF($A941="","",IF('Importar Reservas'!N933="",0,'Importar Reservas'!N933))</f>
        <v/>
      </c>
      <c r="F941" s="78">
        <f>IF($A941="","",IFERROR(INDEX(Configurações!$C$5:$C$100,MATCH($C941,Configurações!$A$5:$A$100,0)),"Margem"))</f>
        <v/>
      </c>
      <c r="G941" s="78">
        <f>IF($A941="","",IFERROR(INDEX(Configurações!$B$5:$B$100,MATCH($C941,Configurações!$A$5:$A$100,0)),0))</f>
        <v/>
      </c>
      <c r="H941" s="78">
        <f>IF(OR($A941="",'Importar Reservas'!M933&lt;&gt;"Aprovado",$D941&lt;=0),"",MAX(0,IF($F941="Margem",$D941-$E941,$D941))*$G941)</f>
        <v/>
      </c>
    </row>
    <row r="942" ht="15" customHeight="1" s="79">
      <c r="A942" s="78">
        <f>IF('Importar Reservas'!A934="","",'Importar Reservas'!A934)</f>
        <v/>
      </c>
      <c r="B942" s="78">
        <f>IF($A942="","",'Importar Reservas'!B934)</f>
        <v/>
      </c>
      <c r="C942" s="78">
        <f>IF($A942="","",'Importar Reservas'!Z934)</f>
        <v/>
      </c>
      <c r="D942" s="78">
        <f>IF($A942="","",IF('Importar Reservas'!O934="",0,'Importar Reservas'!O934))</f>
        <v/>
      </c>
      <c r="E942" s="78">
        <f>IF($A942="","",IF('Importar Reservas'!N934="",0,'Importar Reservas'!N934))</f>
        <v/>
      </c>
      <c r="F942" s="78">
        <f>IF($A942="","",IFERROR(INDEX(Configurações!$C$5:$C$100,MATCH($C942,Configurações!$A$5:$A$100,0)),"Margem"))</f>
        <v/>
      </c>
      <c r="G942" s="78">
        <f>IF($A942="","",IFERROR(INDEX(Configurações!$B$5:$B$100,MATCH($C942,Configurações!$A$5:$A$100,0)),0))</f>
        <v/>
      </c>
      <c r="H942" s="78">
        <f>IF(OR($A942="",'Importar Reservas'!M934&lt;&gt;"Aprovado",$D942&lt;=0),"",MAX(0,IF($F942="Margem",$D942-$E942,$D942))*$G942)</f>
        <v/>
      </c>
    </row>
    <row r="943" ht="15" customHeight="1" s="79">
      <c r="A943" s="78">
        <f>IF('Importar Reservas'!A935="","",'Importar Reservas'!A935)</f>
        <v/>
      </c>
      <c r="B943" s="78">
        <f>IF($A943="","",'Importar Reservas'!B935)</f>
        <v/>
      </c>
      <c r="C943" s="78">
        <f>IF($A943="","",'Importar Reservas'!Z935)</f>
        <v/>
      </c>
      <c r="D943" s="78">
        <f>IF($A943="","",IF('Importar Reservas'!O935="",0,'Importar Reservas'!O935))</f>
        <v/>
      </c>
      <c r="E943" s="78">
        <f>IF($A943="","",IF('Importar Reservas'!N935="",0,'Importar Reservas'!N935))</f>
        <v/>
      </c>
      <c r="F943" s="78">
        <f>IF($A943="","",IFERROR(INDEX(Configurações!$C$5:$C$100,MATCH($C943,Configurações!$A$5:$A$100,0)),"Margem"))</f>
        <v/>
      </c>
      <c r="G943" s="78">
        <f>IF($A943="","",IFERROR(INDEX(Configurações!$B$5:$B$100,MATCH($C943,Configurações!$A$5:$A$100,0)),0))</f>
        <v/>
      </c>
      <c r="H943" s="78">
        <f>IF(OR($A943="",'Importar Reservas'!M935&lt;&gt;"Aprovado",$D943&lt;=0),"",MAX(0,IF($F943="Margem",$D943-$E943,$D943))*$G943)</f>
        <v/>
      </c>
    </row>
    <row r="944" ht="15" customHeight="1" s="79">
      <c r="A944" s="78">
        <f>IF('Importar Reservas'!A936="","",'Importar Reservas'!A936)</f>
        <v/>
      </c>
      <c r="B944" s="78">
        <f>IF($A944="","",'Importar Reservas'!B936)</f>
        <v/>
      </c>
      <c r="C944" s="78">
        <f>IF($A944="","",'Importar Reservas'!Z936)</f>
        <v/>
      </c>
      <c r="D944" s="78">
        <f>IF($A944="","",IF('Importar Reservas'!O936="",0,'Importar Reservas'!O936))</f>
        <v/>
      </c>
      <c r="E944" s="78">
        <f>IF($A944="","",IF('Importar Reservas'!N936="",0,'Importar Reservas'!N936))</f>
        <v/>
      </c>
      <c r="F944" s="78">
        <f>IF($A944="","",IFERROR(INDEX(Configurações!$C$5:$C$100,MATCH($C944,Configurações!$A$5:$A$100,0)),"Margem"))</f>
        <v/>
      </c>
      <c r="G944" s="78">
        <f>IF($A944="","",IFERROR(INDEX(Configurações!$B$5:$B$100,MATCH($C944,Configurações!$A$5:$A$100,0)),0))</f>
        <v/>
      </c>
      <c r="H944" s="78">
        <f>IF(OR($A944="",'Importar Reservas'!M936&lt;&gt;"Aprovado",$D944&lt;=0),"",MAX(0,IF($F944="Margem",$D944-$E944,$D944))*$G944)</f>
        <v/>
      </c>
    </row>
    <row r="945" ht="15" customHeight="1" s="79">
      <c r="A945" s="78">
        <f>IF('Importar Reservas'!A937="","",'Importar Reservas'!A937)</f>
        <v/>
      </c>
      <c r="B945" s="78">
        <f>IF($A945="","",'Importar Reservas'!B937)</f>
        <v/>
      </c>
      <c r="C945" s="78">
        <f>IF($A945="","",'Importar Reservas'!Z937)</f>
        <v/>
      </c>
      <c r="D945" s="78">
        <f>IF($A945="","",IF('Importar Reservas'!O937="",0,'Importar Reservas'!O937))</f>
        <v/>
      </c>
      <c r="E945" s="78">
        <f>IF($A945="","",IF('Importar Reservas'!N937="",0,'Importar Reservas'!N937))</f>
        <v/>
      </c>
      <c r="F945" s="78">
        <f>IF($A945="","",IFERROR(INDEX(Configurações!$C$5:$C$100,MATCH($C945,Configurações!$A$5:$A$100,0)),"Margem"))</f>
        <v/>
      </c>
      <c r="G945" s="78">
        <f>IF($A945="","",IFERROR(INDEX(Configurações!$B$5:$B$100,MATCH($C945,Configurações!$A$5:$A$100,0)),0))</f>
        <v/>
      </c>
      <c r="H945" s="78">
        <f>IF(OR($A945="",'Importar Reservas'!M937&lt;&gt;"Aprovado",$D945&lt;=0),"",MAX(0,IF($F945="Margem",$D945-$E945,$D945))*$G945)</f>
        <v/>
      </c>
    </row>
    <row r="946" ht="15" customHeight="1" s="79">
      <c r="A946" s="78">
        <f>IF('Importar Reservas'!A938="","",'Importar Reservas'!A938)</f>
        <v/>
      </c>
      <c r="B946" s="78">
        <f>IF($A946="","",'Importar Reservas'!B938)</f>
        <v/>
      </c>
      <c r="C946" s="78">
        <f>IF($A946="","",'Importar Reservas'!Z938)</f>
        <v/>
      </c>
      <c r="D946" s="78">
        <f>IF($A946="","",IF('Importar Reservas'!O938="",0,'Importar Reservas'!O938))</f>
        <v/>
      </c>
      <c r="E946" s="78">
        <f>IF($A946="","",IF('Importar Reservas'!N938="",0,'Importar Reservas'!N938))</f>
        <v/>
      </c>
      <c r="F946" s="78">
        <f>IF($A946="","",IFERROR(INDEX(Configurações!$C$5:$C$100,MATCH($C946,Configurações!$A$5:$A$100,0)),"Margem"))</f>
        <v/>
      </c>
      <c r="G946" s="78">
        <f>IF($A946="","",IFERROR(INDEX(Configurações!$B$5:$B$100,MATCH($C946,Configurações!$A$5:$A$100,0)),0))</f>
        <v/>
      </c>
      <c r="H946" s="78">
        <f>IF(OR($A946="",'Importar Reservas'!M938&lt;&gt;"Aprovado",$D946&lt;=0),"",MAX(0,IF($F946="Margem",$D946-$E946,$D946))*$G946)</f>
        <v/>
      </c>
    </row>
    <row r="947" ht="15" customHeight="1" s="79">
      <c r="A947" s="78">
        <f>IF('Importar Reservas'!A939="","",'Importar Reservas'!A939)</f>
        <v/>
      </c>
      <c r="B947" s="78">
        <f>IF($A947="","",'Importar Reservas'!B939)</f>
        <v/>
      </c>
      <c r="C947" s="78">
        <f>IF($A947="","",'Importar Reservas'!Z939)</f>
        <v/>
      </c>
      <c r="D947" s="78">
        <f>IF($A947="","",IF('Importar Reservas'!O939="",0,'Importar Reservas'!O939))</f>
        <v/>
      </c>
      <c r="E947" s="78">
        <f>IF($A947="","",IF('Importar Reservas'!N939="",0,'Importar Reservas'!N939))</f>
        <v/>
      </c>
      <c r="F947" s="78">
        <f>IF($A947="","",IFERROR(INDEX(Configurações!$C$5:$C$100,MATCH($C947,Configurações!$A$5:$A$100,0)),"Margem"))</f>
        <v/>
      </c>
      <c r="G947" s="78">
        <f>IF($A947="","",IFERROR(INDEX(Configurações!$B$5:$B$100,MATCH($C947,Configurações!$A$5:$A$100,0)),0))</f>
        <v/>
      </c>
      <c r="H947" s="78">
        <f>IF(OR($A947="",'Importar Reservas'!M939&lt;&gt;"Aprovado",$D947&lt;=0),"",MAX(0,IF($F947="Margem",$D947-$E947,$D947))*$G947)</f>
        <v/>
      </c>
    </row>
    <row r="948" ht="15" customHeight="1" s="79">
      <c r="A948" s="78">
        <f>IF('Importar Reservas'!A940="","",'Importar Reservas'!A940)</f>
        <v/>
      </c>
      <c r="B948" s="78">
        <f>IF($A948="","",'Importar Reservas'!B940)</f>
        <v/>
      </c>
      <c r="C948" s="78">
        <f>IF($A948="","",'Importar Reservas'!Z940)</f>
        <v/>
      </c>
      <c r="D948" s="78">
        <f>IF($A948="","",IF('Importar Reservas'!O940="",0,'Importar Reservas'!O940))</f>
        <v/>
      </c>
      <c r="E948" s="78">
        <f>IF($A948="","",IF('Importar Reservas'!N940="",0,'Importar Reservas'!N940))</f>
        <v/>
      </c>
      <c r="F948" s="78">
        <f>IF($A948="","",IFERROR(INDEX(Configurações!$C$5:$C$100,MATCH($C948,Configurações!$A$5:$A$100,0)),"Margem"))</f>
        <v/>
      </c>
      <c r="G948" s="78">
        <f>IF($A948="","",IFERROR(INDEX(Configurações!$B$5:$B$100,MATCH($C948,Configurações!$A$5:$A$100,0)),0))</f>
        <v/>
      </c>
      <c r="H948" s="78">
        <f>IF(OR($A948="",'Importar Reservas'!M940&lt;&gt;"Aprovado",$D948&lt;=0),"",MAX(0,IF($F948="Margem",$D948-$E948,$D948))*$G948)</f>
        <v/>
      </c>
    </row>
    <row r="949" ht="15" customHeight="1" s="79">
      <c r="A949" s="78">
        <f>IF('Importar Reservas'!A941="","",'Importar Reservas'!A941)</f>
        <v/>
      </c>
      <c r="B949" s="78">
        <f>IF($A949="","",'Importar Reservas'!B941)</f>
        <v/>
      </c>
      <c r="C949" s="78">
        <f>IF($A949="","",'Importar Reservas'!Z941)</f>
        <v/>
      </c>
      <c r="D949" s="78">
        <f>IF($A949="","",IF('Importar Reservas'!O941="",0,'Importar Reservas'!O941))</f>
        <v/>
      </c>
      <c r="E949" s="78">
        <f>IF($A949="","",IF('Importar Reservas'!N941="",0,'Importar Reservas'!N941))</f>
        <v/>
      </c>
      <c r="F949" s="78">
        <f>IF($A949="","",IFERROR(INDEX(Configurações!$C$5:$C$100,MATCH($C949,Configurações!$A$5:$A$100,0)),"Margem"))</f>
        <v/>
      </c>
      <c r="G949" s="78">
        <f>IF($A949="","",IFERROR(INDEX(Configurações!$B$5:$B$100,MATCH($C949,Configurações!$A$5:$A$100,0)),0))</f>
        <v/>
      </c>
      <c r="H949" s="78">
        <f>IF(OR($A949="",'Importar Reservas'!M941&lt;&gt;"Aprovado",$D949&lt;=0),"",MAX(0,IF($F949="Margem",$D949-$E949,$D949))*$G949)</f>
        <v/>
      </c>
    </row>
    <row r="950" ht="15" customHeight="1" s="79">
      <c r="A950" s="78">
        <f>IF('Importar Reservas'!A942="","",'Importar Reservas'!A942)</f>
        <v/>
      </c>
      <c r="B950" s="78">
        <f>IF($A950="","",'Importar Reservas'!B942)</f>
        <v/>
      </c>
      <c r="C950" s="78">
        <f>IF($A950="","",'Importar Reservas'!Z942)</f>
        <v/>
      </c>
      <c r="D950" s="78">
        <f>IF($A950="","",IF('Importar Reservas'!O942="",0,'Importar Reservas'!O942))</f>
        <v/>
      </c>
      <c r="E950" s="78">
        <f>IF($A950="","",IF('Importar Reservas'!N942="",0,'Importar Reservas'!N942))</f>
        <v/>
      </c>
      <c r="F950" s="78">
        <f>IF($A950="","",IFERROR(INDEX(Configurações!$C$5:$C$100,MATCH($C950,Configurações!$A$5:$A$100,0)),"Margem"))</f>
        <v/>
      </c>
      <c r="G950" s="78">
        <f>IF($A950="","",IFERROR(INDEX(Configurações!$B$5:$B$100,MATCH($C950,Configurações!$A$5:$A$100,0)),0))</f>
        <v/>
      </c>
      <c r="H950" s="78">
        <f>IF(OR($A950="",'Importar Reservas'!M942&lt;&gt;"Aprovado",$D950&lt;=0),"",MAX(0,IF($F950="Margem",$D950-$E950,$D950))*$G950)</f>
        <v/>
      </c>
    </row>
    <row r="951" ht="15" customHeight="1" s="79">
      <c r="A951" s="78">
        <f>IF('Importar Reservas'!A943="","",'Importar Reservas'!A943)</f>
        <v/>
      </c>
      <c r="B951" s="78">
        <f>IF($A951="","",'Importar Reservas'!B943)</f>
        <v/>
      </c>
      <c r="C951" s="78">
        <f>IF($A951="","",'Importar Reservas'!Z943)</f>
        <v/>
      </c>
      <c r="D951" s="78">
        <f>IF($A951="","",IF('Importar Reservas'!O943="",0,'Importar Reservas'!O943))</f>
        <v/>
      </c>
      <c r="E951" s="78">
        <f>IF($A951="","",IF('Importar Reservas'!N943="",0,'Importar Reservas'!N943))</f>
        <v/>
      </c>
      <c r="F951" s="78">
        <f>IF($A951="","",IFERROR(INDEX(Configurações!$C$5:$C$100,MATCH($C951,Configurações!$A$5:$A$100,0)),"Margem"))</f>
        <v/>
      </c>
      <c r="G951" s="78">
        <f>IF($A951="","",IFERROR(INDEX(Configurações!$B$5:$B$100,MATCH($C951,Configurações!$A$5:$A$100,0)),0))</f>
        <v/>
      </c>
      <c r="H951" s="78">
        <f>IF(OR($A951="",'Importar Reservas'!M943&lt;&gt;"Aprovado",$D951&lt;=0),"",MAX(0,IF($F951="Margem",$D951-$E951,$D951))*$G951)</f>
        <v/>
      </c>
    </row>
    <row r="952" ht="15" customHeight="1" s="79">
      <c r="A952" s="78">
        <f>IF('Importar Reservas'!A944="","",'Importar Reservas'!A944)</f>
        <v/>
      </c>
      <c r="B952" s="78">
        <f>IF($A952="","",'Importar Reservas'!B944)</f>
        <v/>
      </c>
      <c r="C952" s="78">
        <f>IF($A952="","",'Importar Reservas'!Z944)</f>
        <v/>
      </c>
      <c r="D952" s="78">
        <f>IF($A952="","",IF('Importar Reservas'!O944="",0,'Importar Reservas'!O944))</f>
        <v/>
      </c>
      <c r="E952" s="78">
        <f>IF($A952="","",IF('Importar Reservas'!N944="",0,'Importar Reservas'!N944))</f>
        <v/>
      </c>
      <c r="F952" s="78">
        <f>IF($A952="","",IFERROR(INDEX(Configurações!$C$5:$C$100,MATCH($C952,Configurações!$A$5:$A$100,0)),"Margem"))</f>
        <v/>
      </c>
      <c r="G952" s="78">
        <f>IF($A952="","",IFERROR(INDEX(Configurações!$B$5:$B$100,MATCH($C952,Configurações!$A$5:$A$100,0)),0))</f>
        <v/>
      </c>
      <c r="H952" s="78">
        <f>IF(OR($A952="",'Importar Reservas'!M944&lt;&gt;"Aprovado",$D952&lt;=0),"",MAX(0,IF($F952="Margem",$D952-$E952,$D952))*$G952)</f>
        <v/>
      </c>
    </row>
    <row r="953" ht="15" customHeight="1" s="79">
      <c r="A953" s="78">
        <f>IF('Importar Reservas'!A945="","",'Importar Reservas'!A945)</f>
        <v/>
      </c>
      <c r="B953" s="78">
        <f>IF($A953="","",'Importar Reservas'!B945)</f>
        <v/>
      </c>
      <c r="C953" s="78">
        <f>IF($A953="","",'Importar Reservas'!Z945)</f>
        <v/>
      </c>
      <c r="D953" s="78">
        <f>IF($A953="","",IF('Importar Reservas'!O945="",0,'Importar Reservas'!O945))</f>
        <v/>
      </c>
      <c r="E953" s="78">
        <f>IF($A953="","",IF('Importar Reservas'!N945="",0,'Importar Reservas'!N945))</f>
        <v/>
      </c>
      <c r="F953" s="78">
        <f>IF($A953="","",IFERROR(INDEX(Configurações!$C$5:$C$100,MATCH($C953,Configurações!$A$5:$A$100,0)),"Margem"))</f>
        <v/>
      </c>
      <c r="G953" s="78">
        <f>IF($A953="","",IFERROR(INDEX(Configurações!$B$5:$B$100,MATCH($C953,Configurações!$A$5:$A$100,0)),0))</f>
        <v/>
      </c>
      <c r="H953" s="78">
        <f>IF(OR($A953="",'Importar Reservas'!M945&lt;&gt;"Aprovado",$D953&lt;=0),"",MAX(0,IF($F953="Margem",$D953-$E953,$D953))*$G953)</f>
        <v/>
      </c>
    </row>
    <row r="954" ht="15" customHeight="1" s="79">
      <c r="A954" s="78">
        <f>IF('Importar Reservas'!A946="","",'Importar Reservas'!A946)</f>
        <v/>
      </c>
      <c r="B954" s="78">
        <f>IF($A954="","",'Importar Reservas'!B946)</f>
        <v/>
      </c>
      <c r="C954" s="78">
        <f>IF($A954="","",'Importar Reservas'!Z946)</f>
        <v/>
      </c>
      <c r="D954" s="78">
        <f>IF($A954="","",IF('Importar Reservas'!O946="",0,'Importar Reservas'!O946))</f>
        <v/>
      </c>
      <c r="E954" s="78">
        <f>IF($A954="","",IF('Importar Reservas'!N946="",0,'Importar Reservas'!N946))</f>
        <v/>
      </c>
      <c r="F954" s="78">
        <f>IF($A954="","",IFERROR(INDEX(Configurações!$C$5:$C$100,MATCH($C954,Configurações!$A$5:$A$100,0)),"Margem"))</f>
        <v/>
      </c>
      <c r="G954" s="78">
        <f>IF($A954="","",IFERROR(INDEX(Configurações!$B$5:$B$100,MATCH($C954,Configurações!$A$5:$A$100,0)),0))</f>
        <v/>
      </c>
      <c r="H954" s="78">
        <f>IF(OR($A954="",'Importar Reservas'!M946&lt;&gt;"Aprovado",$D954&lt;=0),"",MAX(0,IF($F954="Margem",$D954-$E954,$D954))*$G954)</f>
        <v/>
      </c>
    </row>
    <row r="955" ht="15" customHeight="1" s="79">
      <c r="A955" s="78">
        <f>IF('Importar Reservas'!A947="","",'Importar Reservas'!A947)</f>
        <v/>
      </c>
      <c r="B955" s="78">
        <f>IF($A955="","",'Importar Reservas'!B947)</f>
        <v/>
      </c>
      <c r="C955" s="78">
        <f>IF($A955="","",'Importar Reservas'!Z947)</f>
        <v/>
      </c>
      <c r="D955" s="78">
        <f>IF($A955="","",IF('Importar Reservas'!O947="",0,'Importar Reservas'!O947))</f>
        <v/>
      </c>
      <c r="E955" s="78">
        <f>IF($A955="","",IF('Importar Reservas'!N947="",0,'Importar Reservas'!N947))</f>
        <v/>
      </c>
      <c r="F955" s="78">
        <f>IF($A955="","",IFERROR(INDEX(Configurações!$C$5:$C$100,MATCH($C955,Configurações!$A$5:$A$100,0)),"Margem"))</f>
        <v/>
      </c>
      <c r="G955" s="78">
        <f>IF($A955="","",IFERROR(INDEX(Configurações!$B$5:$B$100,MATCH($C955,Configurações!$A$5:$A$100,0)),0))</f>
        <v/>
      </c>
      <c r="H955" s="78">
        <f>IF(OR($A955="",'Importar Reservas'!M947&lt;&gt;"Aprovado",$D955&lt;=0),"",MAX(0,IF($F955="Margem",$D955-$E955,$D955))*$G955)</f>
        <v/>
      </c>
    </row>
    <row r="956" ht="15" customHeight="1" s="79">
      <c r="A956" s="78">
        <f>IF('Importar Reservas'!A948="","",'Importar Reservas'!A948)</f>
        <v/>
      </c>
      <c r="B956" s="78">
        <f>IF($A956="","",'Importar Reservas'!B948)</f>
        <v/>
      </c>
      <c r="C956" s="78">
        <f>IF($A956="","",'Importar Reservas'!Z948)</f>
        <v/>
      </c>
      <c r="D956" s="78">
        <f>IF($A956="","",IF('Importar Reservas'!O948="",0,'Importar Reservas'!O948))</f>
        <v/>
      </c>
      <c r="E956" s="78">
        <f>IF($A956="","",IF('Importar Reservas'!N948="",0,'Importar Reservas'!N948))</f>
        <v/>
      </c>
      <c r="F956" s="78">
        <f>IF($A956="","",IFERROR(INDEX(Configurações!$C$5:$C$100,MATCH($C956,Configurações!$A$5:$A$100,0)),"Margem"))</f>
        <v/>
      </c>
      <c r="G956" s="78">
        <f>IF($A956="","",IFERROR(INDEX(Configurações!$B$5:$B$100,MATCH($C956,Configurações!$A$5:$A$100,0)),0))</f>
        <v/>
      </c>
      <c r="H956" s="78">
        <f>IF(OR($A956="",'Importar Reservas'!M948&lt;&gt;"Aprovado",$D956&lt;=0),"",MAX(0,IF($F956="Margem",$D956-$E956,$D956))*$G956)</f>
        <v/>
      </c>
    </row>
    <row r="957" ht="15" customHeight="1" s="79">
      <c r="A957" s="78">
        <f>IF('Importar Reservas'!A949="","",'Importar Reservas'!A949)</f>
        <v/>
      </c>
      <c r="B957" s="78">
        <f>IF($A957="","",'Importar Reservas'!B949)</f>
        <v/>
      </c>
      <c r="C957" s="78">
        <f>IF($A957="","",'Importar Reservas'!Z949)</f>
        <v/>
      </c>
      <c r="D957" s="78">
        <f>IF($A957="","",IF('Importar Reservas'!O949="",0,'Importar Reservas'!O949))</f>
        <v/>
      </c>
      <c r="E957" s="78">
        <f>IF($A957="","",IF('Importar Reservas'!N949="",0,'Importar Reservas'!N949))</f>
        <v/>
      </c>
      <c r="F957" s="78">
        <f>IF($A957="","",IFERROR(INDEX(Configurações!$C$5:$C$100,MATCH($C957,Configurações!$A$5:$A$100,0)),"Margem"))</f>
        <v/>
      </c>
      <c r="G957" s="78">
        <f>IF($A957="","",IFERROR(INDEX(Configurações!$B$5:$B$100,MATCH($C957,Configurações!$A$5:$A$100,0)),0))</f>
        <v/>
      </c>
      <c r="H957" s="78">
        <f>IF(OR($A957="",'Importar Reservas'!M949&lt;&gt;"Aprovado",$D957&lt;=0),"",MAX(0,IF($F957="Margem",$D957-$E957,$D957))*$G957)</f>
        <v/>
      </c>
    </row>
    <row r="958" ht="15" customHeight="1" s="79">
      <c r="A958" s="78">
        <f>IF('Importar Reservas'!A950="","",'Importar Reservas'!A950)</f>
        <v/>
      </c>
      <c r="B958" s="78">
        <f>IF($A958="","",'Importar Reservas'!B950)</f>
        <v/>
      </c>
      <c r="C958" s="78">
        <f>IF($A958="","",'Importar Reservas'!Z950)</f>
        <v/>
      </c>
      <c r="D958" s="78">
        <f>IF($A958="","",IF('Importar Reservas'!O950="",0,'Importar Reservas'!O950))</f>
        <v/>
      </c>
      <c r="E958" s="78">
        <f>IF($A958="","",IF('Importar Reservas'!N950="",0,'Importar Reservas'!N950))</f>
        <v/>
      </c>
      <c r="F958" s="78">
        <f>IF($A958="","",IFERROR(INDEX(Configurações!$C$5:$C$100,MATCH($C958,Configurações!$A$5:$A$100,0)),"Margem"))</f>
        <v/>
      </c>
      <c r="G958" s="78">
        <f>IF($A958="","",IFERROR(INDEX(Configurações!$B$5:$B$100,MATCH($C958,Configurações!$A$5:$A$100,0)),0))</f>
        <v/>
      </c>
      <c r="H958" s="78">
        <f>IF(OR($A958="",'Importar Reservas'!M950&lt;&gt;"Aprovado",$D958&lt;=0),"",MAX(0,IF($F958="Margem",$D958-$E958,$D958))*$G958)</f>
        <v/>
      </c>
    </row>
    <row r="959" ht="15" customHeight="1" s="79">
      <c r="A959" s="78">
        <f>IF('Importar Reservas'!A951="","",'Importar Reservas'!A951)</f>
        <v/>
      </c>
      <c r="B959" s="78">
        <f>IF($A959="","",'Importar Reservas'!B951)</f>
        <v/>
      </c>
      <c r="C959" s="78">
        <f>IF($A959="","",'Importar Reservas'!Z951)</f>
        <v/>
      </c>
      <c r="D959" s="78">
        <f>IF($A959="","",IF('Importar Reservas'!O951="",0,'Importar Reservas'!O951))</f>
        <v/>
      </c>
      <c r="E959" s="78">
        <f>IF($A959="","",IF('Importar Reservas'!N951="",0,'Importar Reservas'!N951))</f>
        <v/>
      </c>
      <c r="F959" s="78">
        <f>IF($A959="","",IFERROR(INDEX(Configurações!$C$5:$C$100,MATCH($C959,Configurações!$A$5:$A$100,0)),"Margem"))</f>
        <v/>
      </c>
      <c r="G959" s="78">
        <f>IF($A959="","",IFERROR(INDEX(Configurações!$B$5:$B$100,MATCH($C959,Configurações!$A$5:$A$100,0)),0))</f>
        <v/>
      </c>
      <c r="H959" s="78">
        <f>IF(OR($A959="",'Importar Reservas'!M951&lt;&gt;"Aprovado",$D959&lt;=0),"",MAX(0,IF($F959="Margem",$D959-$E959,$D959))*$G959)</f>
        <v/>
      </c>
    </row>
    <row r="960" ht="15" customHeight="1" s="79">
      <c r="A960" s="78">
        <f>IF('Importar Reservas'!A952="","",'Importar Reservas'!A952)</f>
        <v/>
      </c>
      <c r="B960" s="78">
        <f>IF($A960="","",'Importar Reservas'!B952)</f>
        <v/>
      </c>
      <c r="C960" s="78">
        <f>IF($A960="","",'Importar Reservas'!Z952)</f>
        <v/>
      </c>
      <c r="D960" s="78">
        <f>IF($A960="","",IF('Importar Reservas'!O952="",0,'Importar Reservas'!O952))</f>
        <v/>
      </c>
      <c r="E960" s="78">
        <f>IF($A960="","",IF('Importar Reservas'!N952="",0,'Importar Reservas'!N952))</f>
        <v/>
      </c>
      <c r="F960" s="78">
        <f>IF($A960="","",IFERROR(INDEX(Configurações!$C$5:$C$100,MATCH($C960,Configurações!$A$5:$A$100,0)),"Margem"))</f>
        <v/>
      </c>
      <c r="G960" s="78">
        <f>IF($A960="","",IFERROR(INDEX(Configurações!$B$5:$B$100,MATCH($C960,Configurações!$A$5:$A$100,0)),0))</f>
        <v/>
      </c>
      <c r="H960" s="78">
        <f>IF(OR($A960="",'Importar Reservas'!M952&lt;&gt;"Aprovado",$D960&lt;=0),"",MAX(0,IF($F960="Margem",$D960-$E960,$D960))*$G960)</f>
        <v/>
      </c>
    </row>
    <row r="961" ht="15" customHeight="1" s="79">
      <c r="A961" s="78">
        <f>IF('Importar Reservas'!A953="","",'Importar Reservas'!A953)</f>
        <v/>
      </c>
      <c r="B961" s="78">
        <f>IF($A961="","",'Importar Reservas'!B953)</f>
        <v/>
      </c>
      <c r="C961" s="78">
        <f>IF($A961="","",'Importar Reservas'!Z953)</f>
        <v/>
      </c>
      <c r="D961" s="78">
        <f>IF($A961="","",IF('Importar Reservas'!O953="",0,'Importar Reservas'!O953))</f>
        <v/>
      </c>
      <c r="E961" s="78">
        <f>IF($A961="","",IF('Importar Reservas'!N953="",0,'Importar Reservas'!N953))</f>
        <v/>
      </c>
      <c r="F961" s="78">
        <f>IF($A961="","",IFERROR(INDEX(Configurações!$C$5:$C$100,MATCH($C961,Configurações!$A$5:$A$100,0)),"Margem"))</f>
        <v/>
      </c>
      <c r="G961" s="78">
        <f>IF($A961="","",IFERROR(INDEX(Configurações!$B$5:$B$100,MATCH($C961,Configurações!$A$5:$A$100,0)),0))</f>
        <v/>
      </c>
      <c r="H961" s="78">
        <f>IF(OR($A961="",'Importar Reservas'!M953&lt;&gt;"Aprovado",$D961&lt;=0),"",MAX(0,IF($F961="Margem",$D961-$E961,$D961))*$G961)</f>
        <v/>
      </c>
    </row>
    <row r="962" ht="15" customHeight="1" s="79">
      <c r="A962" s="78">
        <f>IF('Importar Reservas'!A954="","",'Importar Reservas'!A954)</f>
        <v/>
      </c>
      <c r="B962" s="78">
        <f>IF($A962="","",'Importar Reservas'!B954)</f>
        <v/>
      </c>
      <c r="C962" s="78">
        <f>IF($A962="","",'Importar Reservas'!Z954)</f>
        <v/>
      </c>
      <c r="D962" s="78">
        <f>IF($A962="","",IF('Importar Reservas'!O954="",0,'Importar Reservas'!O954))</f>
        <v/>
      </c>
      <c r="E962" s="78">
        <f>IF($A962="","",IF('Importar Reservas'!N954="",0,'Importar Reservas'!N954))</f>
        <v/>
      </c>
      <c r="F962" s="78">
        <f>IF($A962="","",IFERROR(INDEX(Configurações!$C$5:$C$100,MATCH($C962,Configurações!$A$5:$A$100,0)),"Margem"))</f>
        <v/>
      </c>
      <c r="G962" s="78">
        <f>IF($A962="","",IFERROR(INDEX(Configurações!$B$5:$B$100,MATCH($C962,Configurações!$A$5:$A$100,0)),0))</f>
        <v/>
      </c>
      <c r="H962" s="78">
        <f>IF(OR($A962="",'Importar Reservas'!M954&lt;&gt;"Aprovado",$D962&lt;=0),"",MAX(0,IF($F962="Margem",$D962-$E962,$D962))*$G962)</f>
        <v/>
      </c>
    </row>
    <row r="963" ht="15" customHeight="1" s="79">
      <c r="A963" s="78">
        <f>IF('Importar Reservas'!A955="","",'Importar Reservas'!A955)</f>
        <v/>
      </c>
      <c r="B963" s="78">
        <f>IF($A963="","",'Importar Reservas'!B955)</f>
        <v/>
      </c>
      <c r="C963" s="78">
        <f>IF($A963="","",'Importar Reservas'!Z955)</f>
        <v/>
      </c>
      <c r="D963" s="78">
        <f>IF($A963="","",IF('Importar Reservas'!O955="",0,'Importar Reservas'!O955))</f>
        <v/>
      </c>
      <c r="E963" s="78">
        <f>IF($A963="","",IF('Importar Reservas'!N955="",0,'Importar Reservas'!N955))</f>
        <v/>
      </c>
      <c r="F963" s="78">
        <f>IF($A963="","",IFERROR(INDEX(Configurações!$C$5:$C$100,MATCH($C963,Configurações!$A$5:$A$100,0)),"Margem"))</f>
        <v/>
      </c>
      <c r="G963" s="78">
        <f>IF($A963="","",IFERROR(INDEX(Configurações!$B$5:$B$100,MATCH($C963,Configurações!$A$5:$A$100,0)),0))</f>
        <v/>
      </c>
      <c r="H963" s="78">
        <f>IF(OR($A963="",'Importar Reservas'!M955&lt;&gt;"Aprovado",$D963&lt;=0),"",MAX(0,IF($F963="Margem",$D963-$E963,$D963))*$G963)</f>
        <v/>
      </c>
    </row>
    <row r="964" ht="15" customHeight="1" s="79">
      <c r="A964" s="78">
        <f>IF('Importar Reservas'!A956="","",'Importar Reservas'!A956)</f>
        <v/>
      </c>
      <c r="B964" s="78">
        <f>IF($A964="","",'Importar Reservas'!B956)</f>
        <v/>
      </c>
      <c r="C964" s="78">
        <f>IF($A964="","",'Importar Reservas'!Z956)</f>
        <v/>
      </c>
      <c r="D964" s="78">
        <f>IF($A964="","",IF('Importar Reservas'!O956="",0,'Importar Reservas'!O956))</f>
        <v/>
      </c>
      <c r="E964" s="78">
        <f>IF($A964="","",IF('Importar Reservas'!N956="",0,'Importar Reservas'!N956))</f>
        <v/>
      </c>
      <c r="F964" s="78">
        <f>IF($A964="","",IFERROR(INDEX(Configurações!$C$5:$C$100,MATCH($C964,Configurações!$A$5:$A$100,0)),"Margem"))</f>
        <v/>
      </c>
      <c r="G964" s="78">
        <f>IF($A964="","",IFERROR(INDEX(Configurações!$B$5:$B$100,MATCH($C964,Configurações!$A$5:$A$100,0)),0))</f>
        <v/>
      </c>
      <c r="H964" s="78">
        <f>IF(OR($A964="",'Importar Reservas'!M956&lt;&gt;"Aprovado",$D964&lt;=0),"",MAX(0,IF($F964="Margem",$D964-$E964,$D964))*$G964)</f>
        <v/>
      </c>
    </row>
    <row r="965" ht="15" customHeight="1" s="79">
      <c r="A965" s="78">
        <f>IF('Importar Reservas'!A957="","",'Importar Reservas'!A957)</f>
        <v/>
      </c>
      <c r="B965" s="78">
        <f>IF($A965="","",'Importar Reservas'!B957)</f>
        <v/>
      </c>
      <c r="C965" s="78">
        <f>IF($A965="","",'Importar Reservas'!Z957)</f>
        <v/>
      </c>
      <c r="D965" s="78">
        <f>IF($A965="","",IF('Importar Reservas'!O957="",0,'Importar Reservas'!O957))</f>
        <v/>
      </c>
      <c r="E965" s="78">
        <f>IF($A965="","",IF('Importar Reservas'!N957="",0,'Importar Reservas'!N957))</f>
        <v/>
      </c>
      <c r="F965" s="78">
        <f>IF($A965="","",IFERROR(INDEX(Configurações!$C$5:$C$100,MATCH($C965,Configurações!$A$5:$A$100,0)),"Margem"))</f>
        <v/>
      </c>
      <c r="G965" s="78">
        <f>IF($A965="","",IFERROR(INDEX(Configurações!$B$5:$B$100,MATCH($C965,Configurações!$A$5:$A$100,0)),0))</f>
        <v/>
      </c>
      <c r="H965" s="78">
        <f>IF(OR($A965="",'Importar Reservas'!M957&lt;&gt;"Aprovado",$D965&lt;=0),"",MAX(0,IF($F965="Margem",$D965-$E965,$D965))*$G965)</f>
        <v/>
      </c>
    </row>
    <row r="966" ht="15" customHeight="1" s="79">
      <c r="A966" s="78">
        <f>IF('Importar Reservas'!A958="","",'Importar Reservas'!A958)</f>
        <v/>
      </c>
      <c r="B966" s="78">
        <f>IF($A966="","",'Importar Reservas'!B958)</f>
        <v/>
      </c>
      <c r="C966" s="78">
        <f>IF($A966="","",'Importar Reservas'!Z958)</f>
        <v/>
      </c>
      <c r="D966" s="78">
        <f>IF($A966="","",IF('Importar Reservas'!O958="",0,'Importar Reservas'!O958))</f>
        <v/>
      </c>
      <c r="E966" s="78">
        <f>IF($A966="","",IF('Importar Reservas'!N958="",0,'Importar Reservas'!N958))</f>
        <v/>
      </c>
      <c r="F966" s="78">
        <f>IF($A966="","",IFERROR(INDEX(Configurações!$C$5:$C$100,MATCH($C966,Configurações!$A$5:$A$100,0)),"Margem"))</f>
        <v/>
      </c>
      <c r="G966" s="78">
        <f>IF($A966="","",IFERROR(INDEX(Configurações!$B$5:$B$100,MATCH($C966,Configurações!$A$5:$A$100,0)),0))</f>
        <v/>
      </c>
      <c r="H966" s="78">
        <f>IF(OR($A966="",'Importar Reservas'!M958&lt;&gt;"Aprovado",$D966&lt;=0),"",MAX(0,IF($F966="Margem",$D966-$E966,$D966))*$G966)</f>
        <v/>
      </c>
    </row>
    <row r="967" ht="15" customHeight="1" s="79">
      <c r="A967" s="78">
        <f>IF('Importar Reservas'!A959="","",'Importar Reservas'!A959)</f>
        <v/>
      </c>
      <c r="B967" s="78">
        <f>IF($A967="","",'Importar Reservas'!B959)</f>
        <v/>
      </c>
      <c r="C967" s="78">
        <f>IF($A967="","",'Importar Reservas'!Z959)</f>
        <v/>
      </c>
      <c r="D967" s="78">
        <f>IF($A967="","",IF('Importar Reservas'!O959="",0,'Importar Reservas'!O959))</f>
        <v/>
      </c>
      <c r="E967" s="78">
        <f>IF($A967="","",IF('Importar Reservas'!N959="",0,'Importar Reservas'!N959))</f>
        <v/>
      </c>
      <c r="F967" s="78">
        <f>IF($A967="","",IFERROR(INDEX(Configurações!$C$5:$C$100,MATCH($C967,Configurações!$A$5:$A$100,0)),"Margem"))</f>
        <v/>
      </c>
      <c r="G967" s="78">
        <f>IF($A967="","",IFERROR(INDEX(Configurações!$B$5:$B$100,MATCH($C967,Configurações!$A$5:$A$100,0)),0))</f>
        <v/>
      </c>
      <c r="H967" s="78">
        <f>IF(OR($A967="",'Importar Reservas'!M959&lt;&gt;"Aprovado",$D967&lt;=0),"",MAX(0,IF($F967="Margem",$D967-$E967,$D967))*$G967)</f>
        <v/>
      </c>
    </row>
    <row r="968" ht="15" customHeight="1" s="79">
      <c r="A968" s="78">
        <f>IF('Importar Reservas'!A960="","",'Importar Reservas'!A960)</f>
        <v/>
      </c>
      <c r="B968" s="78">
        <f>IF($A968="","",'Importar Reservas'!B960)</f>
        <v/>
      </c>
      <c r="C968" s="78">
        <f>IF($A968="","",'Importar Reservas'!Z960)</f>
        <v/>
      </c>
      <c r="D968" s="78">
        <f>IF($A968="","",IF('Importar Reservas'!O960="",0,'Importar Reservas'!O960))</f>
        <v/>
      </c>
      <c r="E968" s="78">
        <f>IF($A968="","",IF('Importar Reservas'!N960="",0,'Importar Reservas'!N960))</f>
        <v/>
      </c>
      <c r="F968" s="78">
        <f>IF($A968="","",IFERROR(INDEX(Configurações!$C$5:$C$100,MATCH($C968,Configurações!$A$5:$A$100,0)),"Margem"))</f>
        <v/>
      </c>
      <c r="G968" s="78">
        <f>IF($A968="","",IFERROR(INDEX(Configurações!$B$5:$B$100,MATCH($C968,Configurações!$A$5:$A$100,0)),0))</f>
        <v/>
      </c>
      <c r="H968" s="78">
        <f>IF(OR($A968="",'Importar Reservas'!M960&lt;&gt;"Aprovado",$D968&lt;=0),"",MAX(0,IF($F968="Margem",$D968-$E968,$D968))*$G968)</f>
        <v/>
      </c>
    </row>
    <row r="969" ht="15" customHeight="1" s="79">
      <c r="A969" s="78">
        <f>IF('Importar Reservas'!A961="","",'Importar Reservas'!A961)</f>
        <v/>
      </c>
      <c r="B969" s="78">
        <f>IF($A969="","",'Importar Reservas'!B961)</f>
        <v/>
      </c>
      <c r="C969" s="78">
        <f>IF($A969="","",'Importar Reservas'!Z961)</f>
        <v/>
      </c>
      <c r="D969" s="78">
        <f>IF($A969="","",IF('Importar Reservas'!O961="",0,'Importar Reservas'!O961))</f>
        <v/>
      </c>
      <c r="E969" s="78">
        <f>IF($A969="","",IF('Importar Reservas'!N961="",0,'Importar Reservas'!N961))</f>
        <v/>
      </c>
      <c r="F969" s="78">
        <f>IF($A969="","",IFERROR(INDEX(Configurações!$C$5:$C$100,MATCH($C969,Configurações!$A$5:$A$100,0)),"Margem"))</f>
        <v/>
      </c>
      <c r="G969" s="78">
        <f>IF($A969="","",IFERROR(INDEX(Configurações!$B$5:$B$100,MATCH($C969,Configurações!$A$5:$A$100,0)),0))</f>
        <v/>
      </c>
      <c r="H969" s="78">
        <f>IF(OR($A969="",'Importar Reservas'!M961&lt;&gt;"Aprovado",$D969&lt;=0),"",MAX(0,IF($F969="Margem",$D969-$E969,$D969))*$G969)</f>
        <v/>
      </c>
    </row>
    <row r="970" ht="15" customHeight="1" s="79">
      <c r="A970" s="78">
        <f>IF('Importar Reservas'!A962="","",'Importar Reservas'!A962)</f>
        <v/>
      </c>
      <c r="B970" s="78">
        <f>IF($A970="","",'Importar Reservas'!B962)</f>
        <v/>
      </c>
      <c r="C970" s="78">
        <f>IF($A970="","",'Importar Reservas'!Z962)</f>
        <v/>
      </c>
      <c r="D970" s="78">
        <f>IF($A970="","",IF('Importar Reservas'!O962="",0,'Importar Reservas'!O962))</f>
        <v/>
      </c>
      <c r="E970" s="78">
        <f>IF($A970="","",IF('Importar Reservas'!N962="",0,'Importar Reservas'!N962))</f>
        <v/>
      </c>
      <c r="F970" s="78">
        <f>IF($A970="","",IFERROR(INDEX(Configurações!$C$5:$C$100,MATCH($C970,Configurações!$A$5:$A$100,0)),"Margem"))</f>
        <v/>
      </c>
      <c r="G970" s="78">
        <f>IF($A970="","",IFERROR(INDEX(Configurações!$B$5:$B$100,MATCH($C970,Configurações!$A$5:$A$100,0)),0))</f>
        <v/>
      </c>
      <c r="H970" s="78">
        <f>IF(OR($A970="",'Importar Reservas'!M962&lt;&gt;"Aprovado",$D970&lt;=0),"",MAX(0,IF($F970="Margem",$D970-$E970,$D970))*$G970)</f>
        <v/>
      </c>
    </row>
    <row r="971" ht="15" customHeight="1" s="79">
      <c r="A971" s="78">
        <f>IF('Importar Reservas'!A963="","",'Importar Reservas'!A963)</f>
        <v/>
      </c>
      <c r="B971" s="78">
        <f>IF($A971="","",'Importar Reservas'!B963)</f>
        <v/>
      </c>
      <c r="C971" s="78">
        <f>IF($A971="","",'Importar Reservas'!Z963)</f>
        <v/>
      </c>
      <c r="D971" s="78">
        <f>IF($A971="","",IF('Importar Reservas'!O963="",0,'Importar Reservas'!O963))</f>
        <v/>
      </c>
      <c r="E971" s="78">
        <f>IF($A971="","",IF('Importar Reservas'!N963="",0,'Importar Reservas'!N963))</f>
        <v/>
      </c>
      <c r="F971" s="78">
        <f>IF($A971="","",IFERROR(INDEX(Configurações!$C$5:$C$100,MATCH($C971,Configurações!$A$5:$A$100,0)),"Margem"))</f>
        <v/>
      </c>
      <c r="G971" s="78">
        <f>IF($A971="","",IFERROR(INDEX(Configurações!$B$5:$B$100,MATCH($C971,Configurações!$A$5:$A$100,0)),0))</f>
        <v/>
      </c>
      <c r="H971" s="78">
        <f>IF(OR($A971="",'Importar Reservas'!M963&lt;&gt;"Aprovado",$D971&lt;=0),"",MAX(0,IF($F971="Margem",$D971-$E971,$D971))*$G971)</f>
        <v/>
      </c>
    </row>
    <row r="972" ht="15" customHeight="1" s="79">
      <c r="A972" s="78">
        <f>IF('Importar Reservas'!A964="","",'Importar Reservas'!A964)</f>
        <v/>
      </c>
      <c r="B972" s="78">
        <f>IF($A972="","",'Importar Reservas'!B964)</f>
        <v/>
      </c>
      <c r="C972" s="78">
        <f>IF($A972="","",'Importar Reservas'!Z964)</f>
        <v/>
      </c>
      <c r="D972" s="78">
        <f>IF($A972="","",IF('Importar Reservas'!O964="",0,'Importar Reservas'!O964))</f>
        <v/>
      </c>
      <c r="E972" s="78">
        <f>IF($A972="","",IF('Importar Reservas'!N964="",0,'Importar Reservas'!N964))</f>
        <v/>
      </c>
      <c r="F972" s="78">
        <f>IF($A972="","",IFERROR(INDEX(Configurações!$C$5:$C$100,MATCH($C972,Configurações!$A$5:$A$100,0)),"Margem"))</f>
        <v/>
      </c>
      <c r="G972" s="78">
        <f>IF($A972="","",IFERROR(INDEX(Configurações!$B$5:$B$100,MATCH($C972,Configurações!$A$5:$A$100,0)),0))</f>
        <v/>
      </c>
      <c r="H972" s="78">
        <f>IF(OR($A972="",'Importar Reservas'!M964&lt;&gt;"Aprovado",$D972&lt;=0),"",MAX(0,IF($F972="Margem",$D972-$E972,$D972))*$G972)</f>
        <v/>
      </c>
    </row>
    <row r="973" ht="15" customHeight="1" s="79">
      <c r="A973" s="78">
        <f>IF('Importar Reservas'!A965="","",'Importar Reservas'!A965)</f>
        <v/>
      </c>
      <c r="B973" s="78">
        <f>IF($A973="","",'Importar Reservas'!B965)</f>
        <v/>
      </c>
      <c r="C973" s="78">
        <f>IF($A973="","",'Importar Reservas'!Z965)</f>
        <v/>
      </c>
      <c r="D973" s="78">
        <f>IF($A973="","",IF('Importar Reservas'!O965="",0,'Importar Reservas'!O965))</f>
        <v/>
      </c>
      <c r="E973" s="78">
        <f>IF($A973="","",IF('Importar Reservas'!N965="",0,'Importar Reservas'!N965))</f>
        <v/>
      </c>
      <c r="F973" s="78">
        <f>IF($A973="","",IFERROR(INDEX(Configurações!$C$5:$C$100,MATCH($C973,Configurações!$A$5:$A$100,0)),"Margem"))</f>
        <v/>
      </c>
      <c r="G973" s="78">
        <f>IF($A973="","",IFERROR(INDEX(Configurações!$B$5:$B$100,MATCH($C973,Configurações!$A$5:$A$100,0)),0))</f>
        <v/>
      </c>
      <c r="H973" s="78">
        <f>IF(OR($A973="",'Importar Reservas'!M965&lt;&gt;"Aprovado",$D973&lt;=0),"",MAX(0,IF($F973="Margem",$D973-$E973,$D973))*$G973)</f>
        <v/>
      </c>
    </row>
    <row r="974" ht="15" customHeight="1" s="79">
      <c r="A974" s="78">
        <f>IF('Importar Reservas'!A966="","",'Importar Reservas'!A966)</f>
        <v/>
      </c>
      <c r="B974" s="78">
        <f>IF($A974="","",'Importar Reservas'!B966)</f>
        <v/>
      </c>
      <c r="C974" s="78">
        <f>IF($A974="","",'Importar Reservas'!Z966)</f>
        <v/>
      </c>
      <c r="D974" s="78">
        <f>IF($A974="","",IF('Importar Reservas'!O966="",0,'Importar Reservas'!O966))</f>
        <v/>
      </c>
      <c r="E974" s="78">
        <f>IF($A974="","",IF('Importar Reservas'!N966="",0,'Importar Reservas'!N966))</f>
        <v/>
      </c>
      <c r="F974" s="78">
        <f>IF($A974="","",IFERROR(INDEX(Configurações!$C$5:$C$100,MATCH($C974,Configurações!$A$5:$A$100,0)),"Margem"))</f>
        <v/>
      </c>
      <c r="G974" s="78">
        <f>IF($A974="","",IFERROR(INDEX(Configurações!$B$5:$B$100,MATCH($C974,Configurações!$A$5:$A$100,0)),0))</f>
        <v/>
      </c>
      <c r="H974" s="78">
        <f>IF(OR($A974="",'Importar Reservas'!M966&lt;&gt;"Aprovado",$D974&lt;=0),"",MAX(0,IF($F974="Margem",$D974-$E974,$D974))*$G974)</f>
        <v/>
      </c>
    </row>
    <row r="975" ht="15" customHeight="1" s="79">
      <c r="A975" s="78">
        <f>IF('Importar Reservas'!A967="","",'Importar Reservas'!A967)</f>
        <v/>
      </c>
      <c r="B975" s="78">
        <f>IF($A975="","",'Importar Reservas'!B967)</f>
        <v/>
      </c>
      <c r="C975" s="78">
        <f>IF($A975="","",'Importar Reservas'!Z967)</f>
        <v/>
      </c>
      <c r="D975" s="78">
        <f>IF($A975="","",IF('Importar Reservas'!O967="",0,'Importar Reservas'!O967))</f>
        <v/>
      </c>
      <c r="E975" s="78">
        <f>IF($A975="","",IF('Importar Reservas'!N967="",0,'Importar Reservas'!N967))</f>
        <v/>
      </c>
      <c r="F975" s="78">
        <f>IF($A975="","",IFERROR(INDEX(Configurações!$C$5:$C$100,MATCH($C975,Configurações!$A$5:$A$100,0)),"Margem"))</f>
        <v/>
      </c>
      <c r="G975" s="78">
        <f>IF($A975="","",IFERROR(INDEX(Configurações!$B$5:$B$100,MATCH($C975,Configurações!$A$5:$A$100,0)),0))</f>
        <v/>
      </c>
      <c r="H975" s="78">
        <f>IF(OR($A975="",'Importar Reservas'!M967&lt;&gt;"Aprovado",$D975&lt;=0),"",MAX(0,IF($F975="Margem",$D975-$E975,$D975))*$G975)</f>
        <v/>
      </c>
    </row>
    <row r="976" ht="15" customHeight="1" s="79">
      <c r="A976" s="78">
        <f>IF('Importar Reservas'!A968="","",'Importar Reservas'!A968)</f>
        <v/>
      </c>
      <c r="B976" s="78">
        <f>IF($A976="","",'Importar Reservas'!B968)</f>
        <v/>
      </c>
      <c r="C976" s="78">
        <f>IF($A976="","",'Importar Reservas'!Z968)</f>
        <v/>
      </c>
      <c r="D976" s="78">
        <f>IF($A976="","",IF('Importar Reservas'!O968="",0,'Importar Reservas'!O968))</f>
        <v/>
      </c>
      <c r="E976" s="78">
        <f>IF($A976="","",IF('Importar Reservas'!N968="",0,'Importar Reservas'!N968))</f>
        <v/>
      </c>
      <c r="F976" s="78">
        <f>IF($A976="","",IFERROR(INDEX(Configurações!$C$5:$C$100,MATCH($C976,Configurações!$A$5:$A$100,0)),"Margem"))</f>
        <v/>
      </c>
      <c r="G976" s="78">
        <f>IF($A976="","",IFERROR(INDEX(Configurações!$B$5:$B$100,MATCH($C976,Configurações!$A$5:$A$100,0)),0))</f>
        <v/>
      </c>
      <c r="H976" s="78">
        <f>IF(OR($A976="",'Importar Reservas'!M968&lt;&gt;"Aprovado",$D976&lt;=0),"",MAX(0,IF($F976="Margem",$D976-$E976,$D976))*$G976)</f>
        <v/>
      </c>
    </row>
    <row r="977" ht="15" customHeight="1" s="79">
      <c r="A977" s="78">
        <f>IF('Importar Reservas'!A969="","",'Importar Reservas'!A969)</f>
        <v/>
      </c>
      <c r="B977" s="78">
        <f>IF($A977="","",'Importar Reservas'!B969)</f>
        <v/>
      </c>
      <c r="C977" s="78">
        <f>IF($A977="","",'Importar Reservas'!Z969)</f>
        <v/>
      </c>
      <c r="D977" s="78">
        <f>IF($A977="","",IF('Importar Reservas'!O969="",0,'Importar Reservas'!O969))</f>
        <v/>
      </c>
      <c r="E977" s="78">
        <f>IF($A977="","",IF('Importar Reservas'!N969="",0,'Importar Reservas'!N969))</f>
        <v/>
      </c>
      <c r="F977" s="78">
        <f>IF($A977="","",IFERROR(INDEX(Configurações!$C$5:$C$100,MATCH($C977,Configurações!$A$5:$A$100,0)),"Margem"))</f>
        <v/>
      </c>
      <c r="G977" s="78">
        <f>IF($A977="","",IFERROR(INDEX(Configurações!$B$5:$B$100,MATCH($C977,Configurações!$A$5:$A$100,0)),0))</f>
        <v/>
      </c>
      <c r="H977" s="78">
        <f>IF(OR($A977="",'Importar Reservas'!M969&lt;&gt;"Aprovado",$D977&lt;=0),"",MAX(0,IF($F977="Margem",$D977-$E977,$D977))*$G977)</f>
        <v/>
      </c>
    </row>
    <row r="978" ht="15" customHeight="1" s="79">
      <c r="A978" s="78">
        <f>IF('Importar Reservas'!A970="","",'Importar Reservas'!A970)</f>
        <v/>
      </c>
      <c r="B978" s="78">
        <f>IF($A978="","",'Importar Reservas'!B970)</f>
        <v/>
      </c>
      <c r="C978" s="78">
        <f>IF($A978="","",'Importar Reservas'!Z970)</f>
        <v/>
      </c>
      <c r="D978" s="78">
        <f>IF($A978="","",IF('Importar Reservas'!O970="",0,'Importar Reservas'!O970))</f>
        <v/>
      </c>
      <c r="E978" s="78">
        <f>IF($A978="","",IF('Importar Reservas'!N970="",0,'Importar Reservas'!N970))</f>
        <v/>
      </c>
      <c r="F978" s="78">
        <f>IF($A978="","",IFERROR(INDEX(Configurações!$C$5:$C$100,MATCH($C978,Configurações!$A$5:$A$100,0)),"Margem"))</f>
        <v/>
      </c>
      <c r="G978" s="78">
        <f>IF($A978="","",IFERROR(INDEX(Configurações!$B$5:$B$100,MATCH($C978,Configurações!$A$5:$A$100,0)),0))</f>
        <v/>
      </c>
      <c r="H978" s="78">
        <f>IF(OR($A978="",'Importar Reservas'!M970&lt;&gt;"Aprovado",$D978&lt;=0),"",MAX(0,IF($F978="Margem",$D978-$E978,$D978))*$G978)</f>
        <v/>
      </c>
    </row>
    <row r="979" ht="15" customHeight="1" s="79">
      <c r="A979" s="78">
        <f>IF('Importar Reservas'!A971="","",'Importar Reservas'!A971)</f>
        <v/>
      </c>
      <c r="B979" s="78">
        <f>IF($A979="","",'Importar Reservas'!B971)</f>
        <v/>
      </c>
      <c r="C979" s="78">
        <f>IF($A979="","",'Importar Reservas'!Z971)</f>
        <v/>
      </c>
      <c r="D979" s="78">
        <f>IF($A979="","",IF('Importar Reservas'!O971="",0,'Importar Reservas'!O971))</f>
        <v/>
      </c>
      <c r="E979" s="78">
        <f>IF($A979="","",IF('Importar Reservas'!N971="",0,'Importar Reservas'!N971))</f>
        <v/>
      </c>
      <c r="F979" s="78">
        <f>IF($A979="","",IFERROR(INDEX(Configurações!$C$5:$C$100,MATCH($C979,Configurações!$A$5:$A$100,0)),"Margem"))</f>
        <v/>
      </c>
      <c r="G979" s="78">
        <f>IF($A979="","",IFERROR(INDEX(Configurações!$B$5:$B$100,MATCH($C979,Configurações!$A$5:$A$100,0)),0))</f>
        <v/>
      </c>
      <c r="H979" s="78">
        <f>IF(OR($A979="",'Importar Reservas'!M971&lt;&gt;"Aprovado",$D979&lt;=0),"",MAX(0,IF($F979="Margem",$D979-$E979,$D979))*$G979)</f>
        <v/>
      </c>
    </row>
    <row r="980" ht="15" customHeight="1" s="79">
      <c r="A980" s="78">
        <f>IF('Importar Reservas'!A972="","",'Importar Reservas'!A972)</f>
        <v/>
      </c>
      <c r="B980" s="78">
        <f>IF($A980="","",'Importar Reservas'!B972)</f>
        <v/>
      </c>
      <c r="C980" s="78">
        <f>IF($A980="","",'Importar Reservas'!Z972)</f>
        <v/>
      </c>
      <c r="D980" s="78">
        <f>IF($A980="","",IF('Importar Reservas'!O972="",0,'Importar Reservas'!O972))</f>
        <v/>
      </c>
      <c r="E980" s="78">
        <f>IF($A980="","",IF('Importar Reservas'!N972="",0,'Importar Reservas'!N972))</f>
        <v/>
      </c>
      <c r="F980" s="78">
        <f>IF($A980="","",IFERROR(INDEX(Configurações!$C$5:$C$100,MATCH($C980,Configurações!$A$5:$A$100,0)),"Margem"))</f>
        <v/>
      </c>
      <c r="G980" s="78">
        <f>IF($A980="","",IFERROR(INDEX(Configurações!$B$5:$B$100,MATCH($C980,Configurações!$A$5:$A$100,0)),0))</f>
        <v/>
      </c>
      <c r="H980" s="78">
        <f>IF(OR($A980="",'Importar Reservas'!M972&lt;&gt;"Aprovado",$D980&lt;=0),"",MAX(0,IF($F980="Margem",$D980-$E980,$D980))*$G980)</f>
        <v/>
      </c>
    </row>
    <row r="981" ht="15" customHeight="1" s="79">
      <c r="A981" s="78">
        <f>IF('Importar Reservas'!A973="","",'Importar Reservas'!A973)</f>
        <v/>
      </c>
      <c r="B981" s="78">
        <f>IF($A981="","",'Importar Reservas'!B973)</f>
        <v/>
      </c>
      <c r="C981" s="78">
        <f>IF($A981="","",'Importar Reservas'!Z973)</f>
        <v/>
      </c>
      <c r="D981" s="78">
        <f>IF($A981="","",IF('Importar Reservas'!O973="",0,'Importar Reservas'!O973))</f>
        <v/>
      </c>
      <c r="E981" s="78">
        <f>IF($A981="","",IF('Importar Reservas'!N973="",0,'Importar Reservas'!N973))</f>
        <v/>
      </c>
      <c r="F981" s="78">
        <f>IF($A981="","",IFERROR(INDEX(Configurações!$C$5:$C$100,MATCH($C981,Configurações!$A$5:$A$100,0)),"Margem"))</f>
        <v/>
      </c>
      <c r="G981" s="78">
        <f>IF($A981="","",IFERROR(INDEX(Configurações!$B$5:$B$100,MATCH($C981,Configurações!$A$5:$A$100,0)),0))</f>
        <v/>
      </c>
      <c r="H981" s="78">
        <f>IF(OR($A981="",'Importar Reservas'!M973&lt;&gt;"Aprovado",$D981&lt;=0),"",MAX(0,IF($F981="Margem",$D981-$E981,$D981))*$G981)</f>
        <v/>
      </c>
    </row>
    <row r="982" ht="15" customHeight="1" s="79">
      <c r="A982" s="78">
        <f>IF('Importar Reservas'!A974="","",'Importar Reservas'!A974)</f>
        <v/>
      </c>
      <c r="B982" s="78">
        <f>IF($A982="","",'Importar Reservas'!B974)</f>
        <v/>
      </c>
      <c r="C982" s="78">
        <f>IF($A982="","",'Importar Reservas'!Z974)</f>
        <v/>
      </c>
      <c r="D982" s="78">
        <f>IF($A982="","",IF('Importar Reservas'!O974="",0,'Importar Reservas'!O974))</f>
        <v/>
      </c>
      <c r="E982" s="78">
        <f>IF($A982="","",IF('Importar Reservas'!N974="",0,'Importar Reservas'!N974))</f>
        <v/>
      </c>
      <c r="F982" s="78">
        <f>IF($A982="","",IFERROR(INDEX(Configurações!$C$5:$C$100,MATCH($C982,Configurações!$A$5:$A$100,0)),"Margem"))</f>
        <v/>
      </c>
      <c r="G982" s="78">
        <f>IF($A982="","",IFERROR(INDEX(Configurações!$B$5:$B$100,MATCH($C982,Configurações!$A$5:$A$100,0)),0))</f>
        <v/>
      </c>
      <c r="H982" s="78">
        <f>IF(OR($A982="",'Importar Reservas'!M974&lt;&gt;"Aprovado",$D982&lt;=0),"",MAX(0,IF($F982="Margem",$D982-$E982,$D982))*$G982)</f>
        <v/>
      </c>
    </row>
    <row r="983" ht="15" customHeight="1" s="79">
      <c r="A983" s="78">
        <f>IF('Importar Reservas'!A975="","",'Importar Reservas'!A975)</f>
        <v/>
      </c>
      <c r="B983" s="78">
        <f>IF($A983="","",'Importar Reservas'!B975)</f>
        <v/>
      </c>
      <c r="C983" s="78">
        <f>IF($A983="","",'Importar Reservas'!Z975)</f>
        <v/>
      </c>
      <c r="D983" s="78">
        <f>IF($A983="","",IF('Importar Reservas'!O975="",0,'Importar Reservas'!O975))</f>
        <v/>
      </c>
      <c r="E983" s="78">
        <f>IF($A983="","",IF('Importar Reservas'!N975="",0,'Importar Reservas'!N975))</f>
        <v/>
      </c>
      <c r="F983" s="78">
        <f>IF($A983="","",IFERROR(INDEX(Configurações!$C$5:$C$100,MATCH($C983,Configurações!$A$5:$A$100,0)),"Margem"))</f>
        <v/>
      </c>
      <c r="G983" s="78">
        <f>IF($A983="","",IFERROR(INDEX(Configurações!$B$5:$B$100,MATCH($C983,Configurações!$A$5:$A$100,0)),0))</f>
        <v/>
      </c>
      <c r="H983" s="78">
        <f>IF(OR($A983="",'Importar Reservas'!M975&lt;&gt;"Aprovado",$D983&lt;=0),"",MAX(0,IF($F983="Margem",$D983-$E983,$D983))*$G983)</f>
        <v/>
      </c>
    </row>
    <row r="984" ht="15" customHeight="1" s="79">
      <c r="A984" s="78">
        <f>IF('Importar Reservas'!A976="","",'Importar Reservas'!A976)</f>
        <v/>
      </c>
      <c r="B984" s="78">
        <f>IF($A984="","",'Importar Reservas'!B976)</f>
        <v/>
      </c>
      <c r="C984" s="78">
        <f>IF($A984="","",'Importar Reservas'!Z976)</f>
        <v/>
      </c>
      <c r="D984" s="78">
        <f>IF($A984="","",IF('Importar Reservas'!O976="",0,'Importar Reservas'!O976))</f>
        <v/>
      </c>
      <c r="E984" s="78">
        <f>IF($A984="","",IF('Importar Reservas'!N976="",0,'Importar Reservas'!N976))</f>
        <v/>
      </c>
      <c r="F984" s="78">
        <f>IF($A984="","",IFERROR(INDEX(Configurações!$C$5:$C$100,MATCH($C984,Configurações!$A$5:$A$100,0)),"Margem"))</f>
        <v/>
      </c>
      <c r="G984" s="78">
        <f>IF($A984="","",IFERROR(INDEX(Configurações!$B$5:$B$100,MATCH($C984,Configurações!$A$5:$A$100,0)),0))</f>
        <v/>
      </c>
      <c r="H984" s="78">
        <f>IF(OR($A984="",'Importar Reservas'!M976&lt;&gt;"Aprovado",$D984&lt;=0),"",MAX(0,IF($F984="Margem",$D984-$E984,$D984))*$G984)</f>
        <v/>
      </c>
    </row>
    <row r="985" ht="15" customHeight="1" s="79">
      <c r="A985" s="78">
        <f>IF('Importar Reservas'!A977="","",'Importar Reservas'!A977)</f>
        <v/>
      </c>
      <c r="B985" s="78">
        <f>IF($A985="","",'Importar Reservas'!B977)</f>
        <v/>
      </c>
      <c r="C985" s="78">
        <f>IF($A985="","",'Importar Reservas'!Z977)</f>
        <v/>
      </c>
      <c r="D985" s="78">
        <f>IF($A985="","",IF('Importar Reservas'!O977="",0,'Importar Reservas'!O977))</f>
        <v/>
      </c>
      <c r="E985" s="78">
        <f>IF($A985="","",IF('Importar Reservas'!N977="",0,'Importar Reservas'!N977))</f>
        <v/>
      </c>
      <c r="F985" s="78">
        <f>IF($A985="","",IFERROR(INDEX(Configurações!$C$5:$C$100,MATCH($C985,Configurações!$A$5:$A$100,0)),"Margem"))</f>
        <v/>
      </c>
      <c r="G985" s="78">
        <f>IF($A985="","",IFERROR(INDEX(Configurações!$B$5:$B$100,MATCH($C985,Configurações!$A$5:$A$100,0)),0))</f>
        <v/>
      </c>
      <c r="H985" s="78">
        <f>IF(OR($A985="",'Importar Reservas'!M977&lt;&gt;"Aprovado",$D985&lt;=0),"",MAX(0,IF($F985="Margem",$D985-$E985,$D985))*$G985)</f>
        <v/>
      </c>
    </row>
    <row r="986" ht="15" customHeight="1" s="79">
      <c r="A986" s="78">
        <f>IF('Importar Reservas'!A978="","",'Importar Reservas'!A978)</f>
        <v/>
      </c>
      <c r="B986" s="78">
        <f>IF($A986="","",'Importar Reservas'!B978)</f>
        <v/>
      </c>
      <c r="C986" s="78">
        <f>IF($A986="","",'Importar Reservas'!Z978)</f>
        <v/>
      </c>
      <c r="D986" s="78">
        <f>IF($A986="","",IF('Importar Reservas'!O978="",0,'Importar Reservas'!O978))</f>
        <v/>
      </c>
      <c r="E986" s="78">
        <f>IF($A986="","",IF('Importar Reservas'!N978="",0,'Importar Reservas'!N978))</f>
        <v/>
      </c>
      <c r="F986" s="78">
        <f>IF($A986="","",IFERROR(INDEX(Configurações!$C$5:$C$100,MATCH($C986,Configurações!$A$5:$A$100,0)),"Margem"))</f>
        <v/>
      </c>
      <c r="G986" s="78">
        <f>IF($A986="","",IFERROR(INDEX(Configurações!$B$5:$B$100,MATCH($C986,Configurações!$A$5:$A$100,0)),0))</f>
        <v/>
      </c>
      <c r="H986" s="78">
        <f>IF(OR($A986="",'Importar Reservas'!M978&lt;&gt;"Aprovado",$D986&lt;=0),"",MAX(0,IF($F986="Margem",$D986-$E986,$D986))*$G986)</f>
        <v/>
      </c>
    </row>
    <row r="987" ht="15" customHeight="1" s="79">
      <c r="A987" s="78">
        <f>IF('Importar Reservas'!A979="","",'Importar Reservas'!A979)</f>
        <v/>
      </c>
      <c r="B987" s="78">
        <f>IF($A987="","",'Importar Reservas'!B979)</f>
        <v/>
      </c>
      <c r="C987" s="78">
        <f>IF($A987="","",'Importar Reservas'!Z979)</f>
        <v/>
      </c>
      <c r="D987" s="78">
        <f>IF($A987="","",IF('Importar Reservas'!O979="",0,'Importar Reservas'!O979))</f>
        <v/>
      </c>
      <c r="E987" s="78">
        <f>IF($A987="","",IF('Importar Reservas'!N979="",0,'Importar Reservas'!N979))</f>
        <v/>
      </c>
      <c r="F987" s="78">
        <f>IF($A987="","",IFERROR(INDEX(Configurações!$C$5:$C$100,MATCH($C987,Configurações!$A$5:$A$100,0)),"Margem"))</f>
        <v/>
      </c>
      <c r="G987" s="78">
        <f>IF($A987="","",IFERROR(INDEX(Configurações!$B$5:$B$100,MATCH($C987,Configurações!$A$5:$A$100,0)),0))</f>
        <v/>
      </c>
      <c r="H987" s="78">
        <f>IF(OR($A987="",'Importar Reservas'!M979&lt;&gt;"Aprovado",$D987&lt;=0),"",MAX(0,IF($F987="Margem",$D987-$E987,$D987))*$G987)</f>
        <v/>
      </c>
    </row>
    <row r="988" ht="15" customHeight="1" s="79">
      <c r="A988" s="78">
        <f>IF('Importar Reservas'!A980="","",'Importar Reservas'!A980)</f>
        <v/>
      </c>
      <c r="B988" s="78">
        <f>IF($A988="","",'Importar Reservas'!B980)</f>
        <v/>
      </c>
      <c r="C988" s="78">
        <f>IF($A988="","",'Importar Reservas'!Z980)</f>
        <v/>
      </c>
      <c r="D988" s="78">
        <f>IF($A988="","",IF('Importar Reservas'!O980="",0,'Importar Reservas'!O980))</f>
        <v/>
      </c>
      <c r="E988" s="78">
        <f>IF($A988="","",IF('Importar Reservas'!N980="",0,'Importar Reservas'!N980))</f>
        <v/>
      </c>
      <c r="F988" s="78">
        <f>IF($A988="","",IFERROR(INDEX(Configurações!$C$5:$C$100,MATCH($C988,Configurações!$A$5:$A$100,0)),"Margem"))</f>
        <v/>
      </c>
      <c r="G988" s="78">
        <f>IF($A988="","",IFERROR(INDEX(Configurações!$B$5:$B$100,MATCH($C988,Configurações!$A$5:$A$100,0)),0))</f>
        <v/>
      </c>
      <c r="H988" s="78">
        <f>IF(OR($A988="",'Importar Reservas'!M980&lt;&gt;"Aprovado",$D988&lt;=0),"",MAX(0,IF($F988="Margem",$D988-$E988,$D988))*$G988)</f>
        <v/>
      </c>
    </row>
    <row r="989" ht="15" customHeight="1" s="79">
      <c r="A989" s="78">
        <f>IF('Importar Reservas'!A981="","",'Importar Reservas'!A981)</f>
        <v/>
      </c>
      <c r="B989" s="78">
        <f>IF($A989="","",'Importar Reservas'!B981)</f>
        <v/>
      </c>
      <c r="C989" s="78">
        <f>IF($A989="","",'Importar Reservas'!Z981)</f>
        <v/>
      </c>
      <c r="D989" s="78">
        <f>IF($A989="","",IF('Importar Reservas'!O981="",0,'Importar Reservas'!O981))</f>
        <v/>
      </c>
      <c r="E989" s="78">
        <f>IF($A989="","",IF('Importar Reservas'!N981="",0,'Importar Reservas'!N981))</f>
        <v/>
      </c>
      <c r="F989" s="78">
        <f>IF($A989="","",IFERROR(INDEX(Configurações!$C$5:$C$100,MATCH($C989,Configurações!$A$5:$A$100,0)),"Margem"))</f>
        <v/>
      </c>
      <c r="G989" s="78">
        <f>IF($A989="","",IFERROR(INDEX(Configurações!$B$5:$B$100,MATCH($C989,Configurações!$A$5:$A$100,0)),0))</f>
        <v/>
      </c>
      <c r="H989" s="78">
        <f>IF(OR($A989="",'Importar Reservas'!M981&lt;&gt;"Aprovado",$D989&lt;=0),"",MAX(0,IF($F989="Margem",$D989-$E989,$D989))*$G989)</f>
        <v/>
      </c>
    </row>
    <row r="990" ht="15" customHeight="1" s="79">
      <c r="A990" s="78">
        <f>IF('Importar Reservas'!A982="","",'Importar Reservas'!A982)</f>
        <v/>
      </c>
      <c r="B990" s="78">
        <f>IF($A990="","",'Importar Reservas'!B982)</f>
        <v/>
      </c>
      <c r="C990" s="78">
        <f>IF($A990="","",'Importar Reservas'!Z982)</f>
        <v/>
      </c>
      <c r="D990" s="78">
        <f>IF($A990="","",IF('Importar Reservas'!O982="",0,'Importar Reservas'!O982))</f>
        <v/>
      </c>
      <c r="E990" s="78">
        <f>IF($A990="","",IF('Importar Reservas'!N982="",0,'Importar Reservas'!N982))</f>
        <v/>
      </c>
      <c r="F990" s="78">
        <f>IF($A990="","",IFERROR(INDEX(Configurações!$C$5:$C$100,MATCH($C990,Configurações!$A$5:$A$100,0)),"Margem"))</f>
        <v/>
      </c>
      <c r="G990" s="78">
        <f>IF($A990="","",IFERROR(INDEX(Configurações!$B$5:$B$100,MATCH($C990,Configurações!$A$5:$A$100,0)),0))</f>
        <v/>
      </c>
      <c r="H990" s="78">
        <f>IF(OR($A990="",'Importar Reservas'!M982&lt;&gt;"Aprovado",$D990&lt;=0),"",MAX(0,IF($F990="Margem",$D990-$E990,$D990))*$G990)</f>
        <v/>
      </c>
    </row>
    <row r="991" ht="15" customHeight="1" s="79">
      <c r="A991" s="78">
        <f>IF('Importar Reservas'!A983="","",'Importar Reservas'!A983)</f>
        <v/>
      </c>
      <c r="B991" s="78">
        <f>IF($A991="","",'Importar Reservas'!B983)</f>
        <v/>
      </c>
      <c r="C991" s="78">
        <f>IF($A991="","",'Importar Reservas'!Z983)</f>
        <v/>
      </c>
      <c r="D991" s="78">
        <f>IF($A991="","",IF('Importar Reservas'!O983="",0,'Importar Reservas'!O983))</f>
        <v/>
      </c>
      <c r="E991" s="78">
        <f>IF($A991="","",IF('Importar Reservas'!N983="",0,'Importar Reservas'!N983))</f>
        <v/>
      </c>
      <c r="F991" s="78">
        <f>IF($A991="","",IFERROR(INDEX(Configurações!$C$5:$C$100,MATCH($C991,Configurações!$A$5:$A$100,0)),"Margem"))</f>
        <v/>
      </c>
      <c r="G991" s="78">
        <f>IF($A991="","",IFERROR(INDEX(Configurações!$B$5:$B$100,MATCH($C991,Configurações!$A$5:$A$100,0)),0))</f>
        <v/>
      </c>
      <c r="H991" s="78">
        <f>IF(OR($A991="",'Importar Reservas'!M983&lt;&gt;"Aprovado",$D991&lt;=0),"",MAX(0,IF($F991="Margem",$D991-$E991,$D991))*$G991)</f>
        <v/>
      </c>
    </row>
    <row r="992" ht="15" customHeight="1" s="79">
      <c r="A992" s="78">
        <f>IF('Importar Reservas'!A984="","",'Importar Reservas'!A984)</f>
        <v/>
      </c>
      <c r="B992" s="78">
        <f>IF($A992="","",'Importar Reservas'!B984)</f>
        <v/>
      </c>
      <c r="C992" s="78">
        <f>IF($A992="","",'Importar Reservas'!Z984)</f>
        <v/>
      </c>
      <c r="D992" s="78">
        <f>IF($A992="","",IF('Importar Reservas'!O984="",0,'Importar Reservas'!O984))</f>
        <v/>
      </c>
      <c r="E992" s="78">
        <f>IF($A992="","",IF('Importar Reservas'!N984="",0,'Importar Reservas'!N984))</f>
        <v/>
      </c>
      <c r="F992" s="78">
        <f>IF($A992="","",IFERROR(INDEX(Configurações!$C$5:$C$100,MATCH($C992,Configurações!$A$5:$A$100,0)),"Margem"))</f>
        <v/>
      </c>
      <c r="G992" s="78">
        <f>IF($A992="","",IFERROR(INDEX(Configurações!$B$5:$B$100,MATCH($C992,Configurações!$A$5:$A$100,0)),0))</f>
        <v/>
      </c>
      <c r="H992" s="78">
        <f>IF(OR($A992="",'Importar Reservas'!M984&lt;&gt;"Aprovado",$D992&lt;=0),"",MAX(0,IF($F992="Margem",$D992-$E992,$D992))*$G992)</f>
        <v/>
      </c>
    </row>
    <row r="993" ht="15" customHeight="1" s="79">
      <c r="A993" s="78">
        <f>IF('Importar Reservas'!A985="","",'Importar Reservas'!A985)</f>
        <v/>
      </c>
      <c r="B993" s="78">
        <f>IF($A993="","",'Importar Reservas'!B985)</f>
        <v/>
      </c>
      <c r="C993" s="78">
        <f>IF($A993="","",'Importar Reservas'!Z985)</f>
        <v/>
      </c>
      <c r="D993" s="78">
        <f>IF($A993="","",IF('Importar Reservas'!O985="",0,'Importar Reservas'!O985))</f>
        <v/>
      </c>
      <c r="E993" s="78">
        <f>IF($A993="","",IF('Importar Reservas'!N985="",0,'Importar Reservas'!N985))</f>
        <v/>
      </c>
      <c r="F993" s="78">
        <f>IF($A993="","",IFERROR(INDEX(Configurações!$C$5:$C$100,MATCH($C993,Configurações!$A$5:$A$100,0)),"Margem"))</f>
        <v/>
      </c>
      <c r="G993" s="78">
        <f>IF($A993="","",IFERROR(INDEX(Configurações!$B$5:$B$100,MATCH($C993,Configurações!$A$5:$A$100,0)),0))</f>
        <v/>
      </c>
      <c r="H993" s="78">
        <f>IF(OR($A993="",'Importar Reservas'!M985&lt;&gt;"Aprovado",$D993&lt;=0),"",MAX(0,IF($F993="Margem",$D993-$E993,$D993))*$G993)</f>
        <v/>
      </c>
    </row>
    <row r="994" ht="15" customHeight="1" s="79">
      <c r="A994" s="78">
        <f>IF('Importar Reservas'!A986="","",'Importar Reservas'!A986)</f>
        <v/>
      </c>
      <c r="B994" s="78">
        <f>IF($A994="","",'Importar Reservas'!B986)</f>
        <v/>
      </c>
      <c r="C994" s="78">
        <f>IF($A994="","",'Importar Reservas'!Z986)</f>
        <v/>
      </c>
      <c r="D994" s="78">
        <f>IF($A994="","",IF('Importar Reservas'!O986="",0,'Importar Reservas'!O986))</f>
        <v/>
      </c>
      <c r="E994" s="78">
        <f>IF($A994="","",IF('Importar Reservas'!N986="",0,'Importar Reservas'!N986))</f>
        <v/>
      </c>
      <c r="F994" s="78">
        <f>IF($A994="","",IFERROR(INDEX(Configurações!$C$5:$C$100,MATCH($C994,Configurações!$A$5:$A$100,0)),"Margem"))</f>
        <v/>
      </c>
      <c r="G994" s="78">
        <f>IF($A994="","",IFERROR(INDEX(Configurações!$B$5:$B$100,MATCH($C994,Configurações!$A$5:$A$100,0)),0))</f>
        <v/>
      </c>
      <c r="H994" s="78">
        <f>IF(OR($A994="",'Importar Reservas'!M986&lt;&gt;"Aprovado",$D994&lt;=0),"",MAX(0,IF($F994="Margem",$D994-$E994,$D994))*$G994)</f>
        <v/>
      </c>
    </row>
    <row r="995" ht="15" customHeight="1" s="79">
      <c r="A995" s="78">
        <f>IF('Importar Reservas'!A987="","",'Importar Reservas'!A987)</f>
        <v/>
      </c>
      <c r="B995" s="78">
        <f>IF($A995="","",'Importar Reservas'!B987)</f>
        <v/>
      </c>
      <c r="C995" s="78">
        <f>IF($A995="","",'Importar Reservas'!Z987)</f>
        <v/>
      </c>
      <c r="D995" s="78">
        <f>IF($A995="","",IF('Importar Reservas'!O987="",0,'Importar Reservas'!O987))</f>
        <v/>
      </c>
      <c r="E995" s="78">
        <f>IF($A995="","",IF('Importar Reservas'!N987="",0,'Importar Reservas'!N987))</f>
        <v/>
      </c>
      <c r="F995" s="78">
        <f>IF($A995="","",IFERROR(INDEX(Configurações!$C$5:$C$100,MATCH($C995,Configurações!$A$5:$A$100,0)),"Margem"))</f>
        <v/>
      </c>
      <c r="G995" s="78">
        <f>IF($A995="","",IFERROR(INDEX(Configurações!$B$5:$B$100,MATCH($C995,Configurações!$A$5:$A$100,0)),0))</f>
        <v/>
      </c>
      <c r="H995" s="78">
        <f>IF(OR($A995="",'Importar Reservas'!M987&lt;&gt;"Aprovado",$D995&lt;=0),"",MAX(0,IF($F995="Margem",$D995-$E995,$D995))*$G995)</f>
        <v/>
      </c>
    </row>
    <row r="996" ht="15" customHeight="1" s="79">
      <c r="A996" s="78">
        <f>IF('Importar Reservas'!A988="","",'Importar Reservas'!A988)</f>
        <v/>
      </c>
      <c r="B996" s="78">
        <f>IF($A996="","",'Importar Reservas'!B988)</f>
        <v/>
      </c>
      <c r="C996" s="78">
        <f>IF($A996="","",'Importar Reservas'!Z988)</f>
        <v/>
      </c>
      <c r="D996" s="78">
        <f>IF($A996="","",IF('Importar Reservas'!O988="",0,'Importar Reservas'!O988))</f>
        <v/>
      </c>
      <c r="E996" s="78">
        <f>IF($A996="","",IF('Importar Reservas'!N988="",0,'Importar Reservas'!N988))</f>
        <v/>
      </c>
      <c r="F996" s="78">
        <f>IF($A996="","",IFERROR(INDEX(Configurações!$C$5:$C$100,MATCH($C996,Configurações!$A$5:$A$100,0)),"Margem"))</f>
        <v/>
      </c>
      <c r="G996" s="78">
        <f>IF($A996="","",IFERROR(INDEX(Configurações!$B$5:$B$100,MATCH($C996,Configurações!$A$5:$A$100,0)),0))</f>
        <v/>
      </c>
      <c r="H996" s="78">
        <f>IF(OR($A996="",'Importar Reservas'!M988&lt;&gt;"Aprovado",$D996&lt;=0),"",MAX(0,IF($F996="Margem",$D996-$E996,$D996))*$G996)</f>
        <v/>
      </c>
    </row>
    <row r="997" ht="15" customHeight="1" s="79">
      <c r="A997" s="78">
        <f>IF('Importar Reservas'!A989="","",'Importar Reservas'!A989)</f>
        <v/>
      </c>
      <c r="B997" s="78">
        <f>IF($A997="","",'Importar Reservas'!B989)</f>
        <v/>
      </c>
      <c r="C997" s="78">
        <f>IF($A997="","",'Importar Reservas'!Z989)</f>
        <v/>
      </c>
      <c r="D997" s="78">
        <f>IF($A997="","",IF('Importar Reservas'!O989="",0,'Importar Reservas'!O989))</f>
        <v/>
      </c>
      <c r="E997" s="78">
        <f>IF($A997="","",IF('Importar Reservas'!N989="",0,'Importar Reservas'!N989))</f>
        <v/>
      </c>
      <c r="F997" s="78">
        <f>IF($A997="","",IFERROR(INDEX(Configurações!$C$5:$C$100,MATCH($C997,Configurações!$A$5:$A$100,0)),"Margem"))</f>
        <v/>
      </c>
      <c r="G997" s="78">
        <f>IF($A997="","",IFERROR(INDEX(Configurações!$B$5:$B$100,MATCH($C997,Configurações!$A$5:$A$100,0)),0))</f>
        <v/>
      </c>
      <c r="H997" s="78">
        <f>IF(OR($A997="",'Importar Reservas'!M989&lt;&gt;"Aprovado",$D997&lt;=0),"",MAX(0,IF($F997="Margem",$D997-$E997,$D997))*$G997)</f>
        <v/>
      </c>
    </row>
    <row r="998" ht="15" customHeight="1" s="79">
      <c r="A998" s="78">
        <f>IF('Importar Reservas'!A990="","",'Importar Reservas'!A990)</f>
        <v/>
      </c>
      <c r="B998" s="78">
        <f>IF($A998="","",'Importar Reservas'!B990)</f>
        <v/>
      </c>
      <c r="C998" s="78">
        <f>IF($A998="","",'Importar Reservas'!Z990)</f>
        <v/>
      </c>
      <c r="D998" s="78">
        <f>IF($A998="","",IF('Importar Reservas'!O990="",0,'Importar Reservas'!O990))</f>
        <v/>
      </c>
      <c r="E998" s="78">
        <f>IF($A998="","",IF('Importar Reservas'!N990="",0,'Importar Reservas'!N990))</f>
        <v/>
      </c>
      <c r="F998" s="78">
        <f>IF($A998="","",IFERROR(INDEX(Configurações!$C$5:$C$100,MATCH($C998,Configurações!$A$5:$A$100,0)),"Margem"))</f>
        <v/>
      </c>
      <c r="G998" s="78">
        <f>IF($A998="","",IFERROR(INDEX(Configurações!$B$5:$B$100,MATCH($C998,Configurações!$A$5:$A$100,0)),0))</f>
        <v/>
      </c>
      <c r="H998" s="78">
        <f>IF(OR($A998="",'Importar Reservas'!M990&lt;&gt;"Aprovado",$D998&lt;=0),"",MAX(0,IF($F998="Margem",$D998-$E998,$D998))*$G998)</f>
        <v/>
      </c>
    </row>
    <row r="999" ht="15" customHeight="1" s="79">
      <c r="A999" s="78">
        <f>IF('Importar Reservas'!A991="","",'Importar Reservas'!A991)</f>
        <v/>
      </c>
      <c r="B999" s="78">
        <f>IF($A999="","",'Importar Reservas'!B991)</f>
        <v/>
      </c>
      <c r="C999" s="78">
        <f>IF($A999="","",'Importar Reservas'!Z991)</f>
        <v/>
      </c>
      <c r="D999" s="78">
        <f>IF($A999="","",IF('Importar Reservas'!O991="",0,'Importar Reservas'!O991))</f>
        <v/>
      </c>
      <c r="E999" s="78">
        <f>IF($A999="","",IF('Importar Reservas'!N991="",0,'Importar Reservas'!N991))</f>
        <v/>
      </c>
      <c r="F999" s="78">
        <f>IF($A999="","",IFERROR(INDEX(Configurações!$C$5:$C$100,MATCH($C999,Configurações!$A$5:$A$100,0)),"Margem"))</f>
        <v/>
      </c>
      <c r="G999" s="78">
        <f>IF($A999="","",IFERROR(INDEX(Configurações!$B$5:$B$100,MATCH($C999,Configurações!$A$5:$A$100,0)),0))</f>
        <v/>
      </c>
      <c r="H999" s="78">
        <f>IF(OR($A999="",'Importar Reservas'!M991&lt;&gt;"Aprovado",$D999&lt;=0),"",MAX(0,IF($F999="Margem",$D999-$E999,$D999))*$G999)</f>
        <v/>
      </c>
    </row>
    <row r="1000" ht="15" customHeight="1" s="79">
      <c r="A1000" s="78">
        <f>IF('Importar Reservas'!A992="","",'Importar Reservas'!A992)</f>
        <v/>
      </c>
      <c r="B1000" s="78">
        <f>IF($A1000="","",'Importar Reservas'!B992)</f>
        <v/>
      </c>
      <c r="C1000" s="78">
        <f>IF($A1000="","",'Importar Reservas'!Z992)</f>
        <v/>
      </c>
      <c r="D1000" s="78">
        <f>IF($A1000="","",IF('Importar Reservas'!O992="",0,'Importar Reservas'!O992))</f>
        <v/>
      </c>
      <c r="E1000" s="78">
        <f>IF($A1000="","",IF('Importar Reservas'!N992="",0,'Importar Reservas'!N992))</f>
        <v/>
      </c>
      <c r="F1000" s="78">
        <f>IF($A1000="","",IFERROR(INDEX(Configurações!$C$5:$C$100,MATCH($C1000,Configurações!$A$5:$A$100,0)),"Margem"))</f>
        <v/>
      </c>
      <c r="G1000" s="78">
        <f>IF($A1000="","",IFERROR(INDEX(Configurações!$B$5:$B$100,MATCH($C1000,Configurações!$A$5:$A$100,0)),0))</f>
        <v/>
      </c>
      <c r="H1000" s="78">
        <f>IF(OR($A1000="",'Importar Reservas'!M992&lt;&gt;"Aprovado",$D1000&lt;=0),"",MAX(0,IF($F1000="Margem",$D1000-$E1000,$D1000))*$G1000)</f>
        <v/>
      </c>
    </row>
    <row r="1001" ht="15" customHeight="1" s="79">
      <c r="A1001" s="78">
        <f>IF('Importar Reservas'!A993="","",'Importar Reservas'!A993)</f>
        <v/>
      </c>
      <c r="B1001" s="78">
        <f>IF($A1001="","",'Importar Reservas'!B993)</f>
        <v/>
      </c>
      <c r="C1001" s="78">
        <f>IF($A1001="","",'Importar Reservas'!Z993)</f>
        <v/>
      </c>
      <c r="D1001" s="78">
        <f>IF($A1001="","",IF('Importar Reservas'!O993="",0,'Importar Reservas'!O993))</f>
        <v/>
      </c>
      <c r="E1001" s="78">
        <f>IF($A1001="","",IF('Importar Reservas'!N993="",0,'Importar Reservas'!N993))</f>
        <v/>
      </c>
      <c r="F1001" s="78">
        <f>IF($A1001="","",IFERROR(INDEX(Configurações!$C$5:$C$100,MATCH($C1001,Configurações!$A$5:$A$100,0)),"Margem"))</f>
        <v/>
      </c>
      <c r="G1001" s="78">
        <f>IF($A1001="","",IFERROR(INDEX(Configurações!$B$5:$B$100,MATCH($C1001,Configurações!$A$5:$A$100,0)),0))</f>
        <v/>
      </c>
      <c r="H1001" s="78">
        <f>IF(OR($A1001="",'Importar Reservas'!M993&lt;&gt;"Aprovado",$D1001&lt;=0),"",MAX(0,IF($F1001="Margem",$D1001-$E1001,$D1001))*$G1001)</f>
        <v/>
      </c>
    </row>
    <row r="1002" ht="15" customHeight="1" s="79">
      <c r="A1002" s="78">
        <f>IF('Importar Reservas'!A994="","",'Importar Reservas'!A994)</f>
        <v/>
      </c>
      <c r="B1002" s="78">
        <f>IF($A1002="","",'Importar Reservas'!B994)</f>
        <v/>
      </c>
      <c r="C1002" s="78">
        <f>IF($A1002="","",'Importar Reservas'!Z994)</f>
        <v/>
      </c>
      <c r="D1002" s="78">
        <f>IF($A1002="","",IF('Importar Reservas'!O994="",0,'Importar Reservas'!O994))</f>
        <v/>
      </c>
      <c r="E1002" s="78">
        <f>IF($A1002="","",IF('Importar Reservas'!N994="",0,'Importar Reservas'!N994))</f>
        <v/>
      </c>
      <c r="F1002" s="78">
        <f>IF($A1002="","",IFERROR(INDEX(Configurações!$C$5:$C$100,MATCH($C1002,Configurações!$A$5:$A$100,0)),"Margem"))</f>
        <v/>
      </c>
      <c r="G1002" s="78">
        <f>IF($A1002="","",IFERROR(INDEX(Configurações!$B$5:$B$100,MATCH($C1002,Configurações!$A$5:$A$100,0)),0))</f>
        <v/>
      </c>
      <c r="H1002" s="78">
        <f>IF(OR($A1002="",'Importar Reservas'!M994&lt;&gt;"Aprovado",$D1002&lt;=0),"",MAX(0,IF($F1002="Margem",$D1002-$E1002,$D1002))*$G1002)</f>
        <v/>
      </c>
    </row>
    <row r="1003" ht="15" customHeight="1" s="79">
      <c r="A1003" s="78">
        <f>IF('Importar Reservas'!A995="","",'Importar Reservas'!A995)</f>
        <v/>
      </c>
      <c r="B1003" s="78">
        <f>IF($A1003="","",'Importar Reservas'!B995)</f>
        <v/>
      </c>
      <c r="C1003" s="78">
        <f>IF($A1003="","",'Importar Reservas'!Z995)</f>
        <v/>
      </c>
      <c r="D1003" s="78">
        <f>IF($A1003="","",IF('Importar Reservas'!O995="",0,'Importar Reservas'!O995))</f>
        <v/>
      </c>
      <c r="E1003" s="78">
        <f>IF($A1003="","",IF('Importar Reservas'!N995="",0,'Importar Reservas'!N995))</f>
        <v/>
      </c>
      <c r="F1003" s="78">
        <f>IF($A1003="","",IFERROR(INDEX(Configurações!$C$5:$C$100,MATCH($C1003,Configurações!$A$5:$A$100,0)),"Margem"))</f>
        <v/>
      </c>
      <c r="G1003" s="78">
        <f>IF($A1003="","",IFERROR(INDEX(Configurações!$B$5:$B$100,MATCH($C1003,Configurações!$A$5:$A$100,0)),0))</f>
        <v/>
      </c>
      <c r="H1003" s="78">
        <f>IF(OR($A1003="",'Importar Reservas'!M995&lt;&gt;"Aprovado",$D1003&lt;=0),"",MAX(0,IF($F1003="Margem",$D1003-$E1003,$D1003))*$G1003)</f>
        <v/>
      </c>
    </row>
    <row r="1004" ht="15" customHeight="1" s="79">
      <c r="A1004" s="78">
        <f>IF('Importar Reservas'!A996="","",'Importar Reservas'!A996)</f>
        <v/>
      </c>
      <c r="B1004" s="78">
        <f>IF($A1004="","",'Importar Reservas'!B996)</f>
        <v/>
      </c>
      <c r="C1004" s="78">
        <f>IF($A1004="","",'Importar Reservas'!Z996)</f>
        <v/>
      </c>
      <c r="D1004" s="78">
        <f>IF($A1004="","",IF('Importar Reservas'!O996="",0,'Importar Reservas'!O996))</f>
        <v/>
      </c>
      <c r="E1004" s="78">
        <f>IF($A1004="","",IF('Importar Reservas'!N996="",0,'Importar Reservas'!N996))</f>
        <v/>
      </c>
      <c r="F1004" s="78">
        <f>IF($A1004="","",IFERROR(INDEX(Configurações!$C$5:$C$100,MATCH($C1004,Configurações!$A$5:$A$100,0)),"Margem"))</f>
        <v/>
      </c>
      <c r="G1004" s="78">
        <f>IF($A1004="","",IFERROR(INDEX(Configurações!$B$5:$B$100,MATCH($C1004,Configurações!$A$5:$A$100,0)),0))</f>
        <v/>
      </c>
      <c r="H1004" s="78">
        <f>IF(OR($A1004="",'Importar Reservas'!M996&lt;&gt;"Aprovado",$D1004&lt;=0),"",MAX(0,IF($F1004="Margem",$D1004-$E1004,$D1004))*$G1004)</f>
        <v/>
      </c>
    </row>
    <row r="1005" ht="15" customHeight="1" s="79">
      <c r="A1005" s="78">
        <f>IF('Importar Reservas'!A997="","",'Importar Reservas'!A997)</f>
        <v/>
      </c>
      <c r="B1005" s="78">
        <f>IF($A1005="","",'Importar Reservas'!B997)</f>
        <v/>
      </c>
      <c r="C1005" s="78">
        <f>IF($A1005="","",'Importar Reservas'!Z997)</f>
        <v/>
      </c>
      <c r="D1005" s="78">
        <f>IF($A1005="","",IF('Importar Reservas'!O997="",0,'Importar Reservas'!O997))</f>
        <v/>
      </c>
      <c r="E1005" s="78">
        <f>IF($A1005="","",IF('Importar Reservas'!N997="",0,'Importar Reservas'!N997))</f>
        <v/>
      </c>
      <c r="F1005" s="78">
        <f>IF($A1005="","",IFERROR(INDEX(Configurações!$C$5:$C$100,MATCH($C1005,Configurações!$A$5:$A$100,0)),"Margem"))</f>
        <v/>
      </c>
      <c r="G1005" s="78">
        <f>IF($A1005="","",IFERROR(INDEX(Configurações!$B$5:$B$100,MATCH($C1005,Configurações!$A$5:$A$100,0)),0))</f>
        <v/>
      </c>
      <c r="H1005" s="78">
        <f>IF(OR($A1005="",'Importar Reservas'!M997&lt;&gt;"Aprovado",$D1005&lt;=0),"",MAX(0,IF($F1005="Margem",$D1005-$E1005,$D1005))*$G1005)</f>
        <v/>
      </c>
    </row>
    <row r="1006" ht="15" customHeight="1" s="79">
      <c r="A1006" s="78">
        <f>IF('Importar Reservas'!A998="","",'Importar Reservas'!A998)</f>
        <v/>
      </c>
      <c r="B1006" s="78">
        <f>IF($A1006="","",'Importar Reservas'!B998)</f>
        <v/>
      </c>
      <c r="C1006" s="78">
        <f>IF($A1006="","",'Importar Reservas'!Z998)</f>
        <v/>
      </c>
      <c r="D1006" s="78">
        <f>IF($A1006="","",IF('Importar Reservas'!O998="",0,'Importar Reservas'!O998))</f>
        <v/>
      </c>
      <c r="E1006" s="78">
        <f>IF($A1006="","",IF('Importar Reservas'!N998="",0,'Importar Reservas'!N998))</f>
        <v/>
      </c>
      <c r="F1006" s="78">
        <f>IF($A1006="","",IFERROR(INDEX(Configurações!$C$5:$C$100,MATCH($C1006,Configurações!$A$5:$A$100,0)),"Margem"))</f>
        <v/>
      </c>
      <c r="G1006" s="78">
        <f>IF($A1006="","",IFERROR(INDEX(Configurações!$B$5:$B$100,MATCH($C1006,Configurações!$A$5:$A$100,0)),0))</f>
        <v/>
      </c>
      <c r="H1006" s="78">
        <f>IF(OR($A1006="",'Importar Reservas'!M998&lt;&gt;"Aprovado",$D1006&lt;=0),"",MAX(0,IF($F1006="Margem",$D1006-$E1006,$D1006))*$G1006)</f>
        <v/>
      </c>
    </row>
    <row r="1007" ht="15" customHeight="1" s="79">
      <c r="A1007" s="78">
        <f>IF('Importar Reservas'!A999="","",'Importar Reservas'!A999)</f>
        <v/>
      </c>
      <c r="B1007" s="78">
        <f>IF($A1007="","",'Importar Reservas'!B999)</f>
        <v/>
      </c>
      <c r="C1007" s="78">
        <f>IF($A1007="","",'Importar Reservas'!Z999)</f>
        <v/>
      </c>
      <c r="D1007" s="78">
        <f>IF($A1007="","",IF('Importar Reservas'!O999="",0,'Importar Reservas'!O999))</f>
        <v/>
      </c>
      <c r="E1007" s="78">
        <f>IF($A1007="","",IF('Importar Reservas'!N999="",0,'Importar Reservas'!N999))</f>
        <v/>
      </c>
      <c r="F1007" s="78">
        <f>IF($A1007="","",IFERROR(INDEX(Configurações!$C$5:$C$100,MATCH($C1007,Configurações!$A$5:$A$100,0)),"Margem"))</f>
        <v/>
      </c>
      <c r="G1007" s="78">
        <f>IF($A1007="","",IFERROR(INDEX(Configurações!$B$5:$B$100,MATCH($C1007,Configurações!$A$5:$A$100,0)),0))</f>
        <v/>
      </c>
      <c r="H1007" s="78">
        <f>IF(OR($A1007="",'Importar Reservas'!M999&lt;&gt;"Aprovado",$D1007&lt;=0),"",MAX(0,IF($F1007="Margem",$D1007-$E1007,$D1007))*$G1007)</f>
        <v/>
      </c>
    </row>
    <row r="1008" ht="15" customHeight="1" s="79">
      <c r="A1008" s="78">
        <f>IF('Importar Reservas'!A1000="","",'Importar Reservas'!A1000)</f>
        <v/>
      </c>
      <c r="B1008" s="78">
        <f>IF($A1008="","",'Importar Reservas'!B1000)</f>
        <v/>
      </c>
      <c r="C1008" s="78">
        <f>IF($A1008="","",'Importar Reservas'!Z1000)</f>
        <v/>
      </c>
      <c r="D1008" s="78">
        <f>IF($A1008="","",IF('Importar Reservas'!O1000="",0,'Importar Reservas'!O1000))</f>
        <v/>
      </c>
      <c r="E1008" s="78">
        <f>IF($A1008="","",IF('Importar Reservas'!N1000="",0,'Importar Reservas'!N1000))</f>
        <v/>
      </c>
      <c r="F1008" s="78">
        <f>IF($A1008="","",IFERROR(INDEX(Configurações!$C$5:$C$100,MATCH($C1008,Configurações!$A$5:$A$100,0)),"Margem"))</f>
        <v/>
      </c>
      <c r="G1008" s="78">
        <f>IF($A1008="","",IFERROR(INDEX(Configurações!$B$5:$B$100,MATCH($C1008,Configurações!$A$5:$A$100,0)),0))</f>
        <v/>
      </c>
      <c r="H1008" s="78">
        <f>IF(OR($A1008="",'Importar Reservas'!M1000&lt;&gt;"Aprovado",$D1008&lt;=0),"",MAX(0,IF($F1008="Margem",$D1008-$E1008,$D1008))*$G1008)</f>
        <v/>
      </c>
    </row>
    <row r="1009" ht="15" customHeight="1" s="79">
      <c r="A1009" s="78">
        <f>IF('Importar Reservas'!A1001="","",'Importar Reservas'!A1001)</f>
        <v/>
      </c>
      <c r="B1009" s="78">
        <f>IF($A1009="","",'Importar Reservas'!B1001)</f>
        <v/>
      </c>
      <c r="C1009" s="78">
        <f>IF($A1009="","",'Importar Reservas'!Z1001)</f>
        <v/>
      </c>
      <c r="D1009" s="78">
        <f>IF($A1009="","",IF('Importar Reservas'!O1001="",0,'Importar Reservas'!O1001))</f>
        <v/>
      </c>
      <c r="E1009" s="78">
        <f>IF($A1009="","",IF('Importar Reservas'!N1001="",0,'Importar Reservas'!N1001))</f>
        <v/>
      </c>
      <c r="F1009" s="78">
        <f>IF($A1009="","",IFERROR(INDEX(Configurações!$C$5:$C$100,MATCH($C1009,Configurações!$A$5:$A$100,0)),"Margem"))</f>
        <v/>
      </c>
      <c r="G1009" s="78">
        <f>IF($A1009="","",IFERROR(INDEX(Configurações!$B$5:$B$100,MATCH($C1009,Configurações!$A$5:$A$100,0)),0))</f>
        <v/>
      </c>
      <c r="H1009" s="78">
        <f>IF(OR($A1009="",'Importar Reservas'!M1001&lt;&gt;"Aprovado",$D1009&lt;=0),"",MAX(0,IF($F1009="Margem",$D1009-$E1009,$D1009))*$G1009)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E28DB8"/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78" min="1" max="1"/>
    <col width="16" customWidth="1" style="78" min="2" max="2"/>
    <col width="14" customWidth="1" style="78" min="3" max="3"/>
    <col width="15" customWidth="1" style="78" min="4" max="4"/>
    <col width="12" customWidth="1" style="78" min="5" max="6"/>
    <col width="20" customWidth="1" style="78" min="7" max="7"/>
  </cols>
  <sheetData>
    <row r="1" ht="18.55" customHeight="1" s="79">
      <c r="A1" s="85" t="inlineStr">
        <is>
          <t>🏢 Custos fixos</t>
        </is>
      </c>
    </row>
    <row r="2" ht="30" customHeight="1" s="79">
      <c r="A2" s="116" t="inlineStr">
        <is>
          <t>Descrição</t>
        </is>
      </c>
      <c r="B2" s="116" t="inlineStr">
        <is>
          <t>Categoria</t>
        </is>
      </c>
      <c r="C2" s="116" t="inlineStr">
        <is>
          <t>Valor (€)</t>
        </is>
      </c>
      <c r="D2" s="116" t="inlineStr">
        <is>
          <t>Periodicidade</t>
        </is>
      </c>
      <c r="E2" s="116" t="inlineStr">
        <is>
          <t>Início</t>
        </is>
      </c>
      <c r="F2" s="116" t="inlineStr">
        <is>
          <t>Fim</t>
        </is>
      </c>
      <c r="G2" s="116" t="inlineStr">
        <is>
          <t>Valor mensal equiv. (€)</t>
        </is>
      </c>
    </row>
    <row r="3" ht="15" customHeight="1" s="79">
      <c r="A3" s="91" t="inlineStr">
        <is>
          <t>Renda do escritório</t>
        </is>
      </c>
      <c r="B3" s="91" t="inlineStr">
        <is>
          <t>Instalações</t>
        </is>
      </c>
      <c r="C3" s="117" t="n">
        <v>650</v>
      </c>
      <c r="D3" s="91" t="inlineStr">
        <is>
          <t>Mensal</t>
        </is>
      </c>
      <c r="E3" s="118" t="n">
        <v>46023</v>
      </c>
      <c r="F3" s="119" t="n"/>
      <c r="G3" s="113">
        <f>IF($D3="Mensal",$C3,IF($D3="Trimestral",$C3/3,IF($D3="Anual",$C3/12,$C3)))</f>
        <v/>
      </c>
    </row>
    <row r="4" ht="15" customHeight="1" s="79">
      <c r="A4" s="91" t="inlineStr">
        <is>
          <t>Salário — Sofia</t>
        </is>
      </c>
      <c r="B4" s="91" t="inlineStr">
        <is>
          <t>Salários</t>
        </is>
      </c>
      <c r="C4" s="117" t="n">
        <v>900</v>
      </c>
      <c r="D4" s="91" t="inlineStr">
        <is>
          <t>Mensal</t>
        </is>
      </c>
      <c r="E4" s="118" t="n">
        <v>46023</v>
      </c>
      <c r="F4" s="119" t="n"/>
      <c r="G4" s="113">
        <f>IF($D4="Mensal",$C4,IF($D4="Trimestral",$C4/3,IF($D4="Anual",$C4/12,$C4)))</f>
        <v/>
      </c>
    </row>
    <row r="5" ht="15" customHeight="1" s="79">
      <c r="A5" s="91" t="inlineStr">
        <is>
          <t>Salário — Miguel</t>
        </is>
      </c>
      <c r="B5" s="91" t="inlineStr">
        <is>
          <t>Salários</t>
        </is>
      </c>
      <c r="C5" s="117" t="n">
        <v>850</v>
      </c>
      <c r="D5" s="91" t="inlineStr">
        <is>
          <t>Mensal</t>
        </is>
      </c>
      <c r="E5" s="118" t="n">
        <v>46023</v>
      </c>
      <c r="F5" s="119" t="n"/>
      <c r="G5" s="113">
        <f>IF($D5="Mensal",$C5,IF($D5="Trimestral",$C5/3,IF($D5="Anual",$C5/12,$C5)))</f>
        <v/>
      </c>
    </row>
    <row r="6" ht="15" customHeight="1" s="79">
      <c r="A6" s="91" t="inlineStr">
        <is>
          <t>Software de gestão</t>
        </is>
      </c>
      <c r="B6" s="91" t="inlineStr">
        <is>
          <t>Software</t>
        </is>
      </c>
      <c r="C6" s="117" t="n">
        <v>30</v>
      </c>
      <c r="D6" s="91" t="inlineStr">
        <is>
          <t>Mensal</t>
        </is>
      </c>
      <c r="E6" s="118" t="n">
        <v>46023</v>
      </c>
      <c r="F6" s="119" t="n"/>
      <c r="G6" s="113">
        <f>IF($D6="Mensal",$C6,IF($D6="Trimestral",$C6/3,IF($D6="Anual",$C6/12,$C6)))</f>
        <v/>
      </c>
    </row>
    <row r="7" ht="15" customHeight="1" s="79">
      <c r="A7" s="91" t="inlineStr">
        <is>
          <t>Google Workspace</t>
        </is>
      </c>
      <c r="B7" s="91" t="inlineStr">
        <is>
          <t>Software</t>
        </is>
      </c>
      <c r="C7" s="117" t="n">
        <v>12</v>
      </c>
      <c r="D7" s="91" t="inlineStr">
        <is>
          <t>Mensal</t>
        </is>
      </c>
      <c r="E7" s="118" t="n">
        <v>46023</v>
      </c>
      <c r="F7" s="119" t="n"/>
      <c r="G7" s="113">
        <f>IF($D7="Mensal",$C7,IF($D7="Trimestral",$C7/3,IF($D7="Anual",$C7/12,$C7)))</f>
        <v/>
      </c>
    </row>
    <row r="8" ht="15" customHeight="1" s="79">
      <c r="A8" s="91" t="inlineStr">
        <is>
          <t>Contabilidade</t>
        </is>
      </c>
      <c r="B8" s="91" t="inlineStr">
        <is>
          <t>Serviços</t>
        </is>
      </c>
      <c r="C8" s="117" t="n">
        <v>120</v>
      </c>
      <c r="D8" s="91" t="inlineStr">
        <is>
          <t>Mensal</t>
        </is>
      </c>
      <c r="E8" s="118" t="n">
        <v>46023</v>
      </c>
      <c r="F8" s="119" t="n"/>
      <c r="G8" s="113">
        <f>IF($D8="Mensal",$C8,IF($D8="Trimestral",$C8/3,IF($D8="Anual",$C8/12,$C8)))</f>
        <v/>
      </c>
    </row>
    <row r="9" ht="15" customHeight="1" s="79">
      <c r="A9" s="91" t="inlineStr">
        <is>
          <t>Seguro anual</t>
        </is>
      </c>
      <c r="B9" s="91" t="inlineStr">
        <is>
          <t>Serviços</t>
        </is>
      </c>
      <c r="C9" s="117" t="n">
        <v>360</v>
      </c>
      <c r="D9" s="91" t="inlineStr">
        <is>
          <t>Anual</t>
        </is>
      </c>
      <c r="E9" s="118" t="n">
        <v>46023</v>
      </c>
      <c r="F9" s="119" t="n"/>
      <c r="G9" s="113">
        <f>IF($D9="Mensal",$C9,IF($D9="Trimestral",$C9/3,IF($D9="Anual",$C9/12,$C9)))</f>
        <v/>
      </c>
    </row>
    <row r="10" ht="15" customHeight="1" s="79">
      <c r="F10" s="120" t="inlineStr">
        <is>
          <t>TOTAL MENSAL</t>
        </is>
      </c>
      <c r="G10" s="121">
        <f>SUM($G$3:$G$9)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E28DB8"/>
    <outlinePr summaryBelow="1" summaryRight="1"/>
    <pageSetUpPr fitToPage="0"/>
  </sheetPr>
  <dimension ref="A1:I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8" min="1" max="1"/>
    <col width="18" customWidth="1" style="78" min="2" max="2"/>
    <col width="30" customWidth="1" style="78" min="3" max="3"/>
    <col width="14" customWidth="1" style="78" min="4" max="4"/>
    <col width="16" customWidth="1" style="78" min="5" max="5"/>
    <col width="26" customWidth="1" style="78" min="6" max="6"/>
    <col width="3" customWidth="1" style="78" min="7" max="7"/>
    <col width="18" customWidth="1" style="78" min="8" max="8"/>
    <col width="12" customWidth="1" style="78" min="9" max="9"/>
  </cols>
  <sheetData>
    <row r="1" ht="18.55" customHeight="1" s="79">
      <c r="A1" s="85" t="inlineStr">
        <is>
          <t>🧾 Gastos adicionais</t>
        </is>
      </c>
    </row>
    <row r="2" ht="15" customHeight="1" s="79">
      <c r="A2" s="86" t="inlineStr">
        <is>
          <t>Despesas fora dos custos fixos e dos fornecedores. Escreve aqui — vão sozinhas para o Fluxo de Caixa e para o P&amp;L (Lucro).</t>
        </is>
      </c>
    </row>
    <row r="3" ht="30" customHeight="1" s="79">
      <c r="A3" s="116" t="inlineStr">
        <is>
          <t>Data</t>
        </is>
      </c>
      <c r="B3" s="116" t="inlineStr">
        <is>
          <t>Categoria</t>
        </is>
      </c>
      <c r="C3" s="116" t="inlineStr">
        <is>
          <t>Descrição</t>
        </is>
      </c>
      <c r="D3" s="116" t="inlineStr">
        <is>
          <t>Valor (€)</t>
        </is>
      </c>
      <c r="E3" s="116" t="inlineStr">
        <is>
          <t>Método</t>
        </is>
      </c>
      <c r="F3" s="116" t="inlineStr">
        <is>
          <t>Observações</t>
        </is>
      </c>
      <c r="H3" s="122" t="inlineStr">
        <is>
          <t>Por categoria</t>
        </is>
      </c>
    </row>
    <row r="4" ht="18.75" customHeight="1" s="79">
      <c r="A4" s="104" t="n">
        <v>46063</v>
      </c>
      <c r="B4" s="103" t="inlineStr">
        <is>
          <t>Marketing</t>
        </is>
      </c>
      <c r="C4" s="103" t="inlineStr">
        <is>
          <t>Anúncios Facebook/Instagram</t>
        </is>
      </c>
      <c r="D4" s="105" t="n">
        <v>150</v>
      </c>
      <c r="E4" s="103" t="inlineStr">
        <is>
          <t>MB Way</t>
        </is>
      </c>
      <c r="F4" s="103" t="n"/>
      <c r="H4" s="96" t="inlineStr">
        <is>
          <t>Marketing</t>
        </is>
      </c>
      <c r="I4" s="123">
        <f>SUMIF($B$4:$B$1000,$H4,$D$4:$D$1000)</f>
        <v/>
      </c>
    </row>
    <row r="5" ht="18.75" customHeight="1" s="79">
      <c r="A5" s="100" t="n">
        <v>46078</v>
      </c>
      <c r="B5" s="99" t="inlineStr">
        <is>
          <t>Material escritório</t>
        </is>
      </c>
      <c r="C5" s="99" t="inlineStr">
        <is>
          <t>Toner + papel</t>
        </is>
      </c>
      <c r="D5" s="124" t="n">
        <v>60</v>
      </c>
      <c r="E5" s="99" t="inlineStr">
        <is>
          <t>Cartão</t>
        </is>
      </c>
      <c r="F5" s="99" t="n"/>
      <c r="H5" s="96" t="inlineStr">
        <is>
          <t>Material escritório</t>
        </is>
      </c>
      <c r="I5" s="123">
        <f>SUMIF($B$4:$B$1000,$H5,$D$4:$D$1000)</f>
        <v/>
      </c>
    </row>
    <row r="6" ht="18.75" customHeight="1" s="79">
      <c r="A6" s="104" t="n">
        <v>46089</v>
      </c>
      <c r="B6" s="103" t="inlineStr">
        <is>
          <t>Deslocações</t>
        </is>
      </c>
      <c r="C6" s="103" t="inlineStr">
        <is>
          <t>Feira de turismo (combustível/portagens)</t>
        </is>
      </c>
      <c r="D6" s="105" t="n">
        <v>85</v>
      </c>
      <c r="E6" s="103" t="inlineStr">
        <is>
          <t>Numerário</t>
        </is>
      </c>
      <c r="F6" s="103" t="n"/>
      <c r="H6" s="96" t="inlineStr">
        <is>
          <t>Equipamento</t>
        </is>
      </c>
      <c r="I6" s="123">
        <f>SUMIF($B$4:$B$1000,$H6,$D$4:$D$1000)</f>
        <v/>
      </c>
    </row>
    <row r="7" ht="18.75" customHeight="1" s="79">
      <c r="A7" s="100" t="n">
        <v>46101</v>
      </c>
      <c r="B7" s="99" t="inlineStr">
        <is>
          <t>Taxas/bancos</t>
        </is>
      </c>
      <c r="C7" s="99" t="inlineStr">
        <is>
          <t>Comissões bancárias</t>
        </is>
      </c>
      <c r="D7" s="124" t="n">
        <v>25</v>
      </c>
      <c r="E7" s="99" t="inlineStr">
        <is>
          <t>Débito direto</t>
        </is>
      </c>
      <c r="F7" s="99" t="n"/>
      <c r="H7" s="96" t="inlineStr">
        <is>
          <t>Deslocações</t>
        </is>
      </c>
      <c r="I7" s="123">
        <f>SUMIF($B$4:$B$1000,$H7,$D$4:$D$1000)</f>
        <v/>
      </c>
    </row>
    <row r="8" ht="18.75" customHeight="1" s="79">
      <c r="A8" s="104" t="n">
        <v>46117</v>
      </c>
      <c r="B8" s="103" t="inlineStr">
        <is>
          <t>Equipamento</t>
        </is>
      </c>
      <c r="C8" s="103" t="inlineStr">
        <is>
          <t>Impressora nova</t>
        </is>
      </c>
      <c r="D8" s="105" t="n">
        <v>180</v>
      </c>
      <c r="E8" s="103" t="inlineStr">
        <is>
          <t>Transferência</t>
        </is>
      </c>
      <c r="F8" s="103" t="n"/>
      <c r="H8" s="96" t="inlineStr">
        <is>
          <t>Taxas/bancos</t>
        </is>
      </c>
      <c r="I8" s="123">
        <f>SUMIF($B$4:$B$1000,$H8,$D$4:$D$1000)</f>
        <v/>
      </c>
    </row>
    <row r="9" ht="18.75" customHeight="1" s="79">
      <c r="A9" s="99" t="n"/>
      <c r="B9" s="99" t="n"/>
      <c r="C9" s="99" t="n"/>
      <c r="D9" s="99" t="n"/>
      <c r="E9" s="99" t="n"/>
      <c r="F9" s="99" t="n"/>
      <c r="H9" s="96" t="inlineStr">
        <is>
          <t>Formação</t>
        </is>
      </c>
      <c r="I9" s="123">
        <f>SUMIF($B$4:$B$1000,$H9,$D$4:$D$1000)</f>
        <v/>
      </c>
    </row>
    <row r="10" ht="18.75" customHeight="1" s="79">
      <c r="A10" s="103" t="n"/>
      <c r="B10" s="103" t="n"/>
      <c r="C10" s="103" t="n"/>
      <c r="D10" s="103" t="n"/>
      <c r="E10" s="103" t="n"/>
      <c r="F10" s="103" t="n"/>
      <c r="H10" s="96" t="inlineStr">
        <is>
          <t>Comunicações</t>
        </is>
      </c>
      <c r="I10" s="123">
        <f>SUMIF($B$4:$B$1000,$H10,$D$4:$D$1000)</f>
        <v/>
      </c>
    </row>
    <row r="11" ht="18.75" customHeight="1" s="79">
      <c r="A11" s="99" t="n"/>
      <c r="B11" s="99" t="n"/>
      <c r="C11" s="99" t="n"/>
      <c r="D11" s="99" t="n"/>
      <c r="E11" s="99" t="n"/>
      <c r="F11" s="99" t="n"/>
      <c r="H11" s="96" t="inlineStr">
        <is>
          <t>Manutenção</t>
        </is>
      </c>
      <c r="I11" s="123">
        <f>SUMIF($B$4:$B$1000,$H11,$D$4:$D$1000)</f>
        <v/>
      </c>
    </row>
    <row r="12" ht="18.75" customHeight="1" s="79">
      <c r="A12" s="103" t="n"/>
      <c r="B12" s="103" t="n"/>
      <c r="C12" s="103" t="n"/>
      <c r="D12" s="103" t="n"/>
      <c r="E12" s="103" t="n"/>
      <c r="F12" s="103" t="n"/>
      <c r="H12" s="96" t="inlineStr">
        <is>
          <t>Outros</t>
        </is>
      </c>
      <c r="I12" s="123">
        <f>SUMIF($B$4:$B$1000,$H12,$D$4:$D$1000)</f>
        <v/>
      </c>
    </row>
    <row r="13" ht="18.75" customHeight="1" s="79">
      <c r="A13" s="99" t="n"/>
      <c r="B13" s="99" t="n"/>
      <c r="C13" s="99" t="n"/>
      <c r="D13" s="99" t="n"/>
      <c r="E13" s="99" t="n"/>
      <c r="F13" s="99" t="n"/>
      <c r="H13" s="122" t="inlineStr">
        <is>
          <t>TOTAL</t>
        </is>
      </c>
      <c r="I13" s="125">
        <f>SUM($D$4:$D$1000)</f>
        <v/>
      </c>
    </row>
    <row r="14" ht="18.75" customHeight="1" s="79">
      <c r="A14" s="103" t="n"/>
      <c r="B14" s="103" t="n"/>
      <c r="C14" s="103" t="n"/>
      <c r="D14" s="103" t="n"/>
      <c r="E14" s="103" t="n"/>
      <c r="F14" s="103" t="n"/>
    </row>
    <row r="15" ht="18.75" customHeight="1" s="79">
      <c r="A15" s="99" t="n"/>
      <c r="B15" s="99" t="n"/>
      <c r="C15" s="99" t="n"/>
      <c r="D15" s="99" t="n"/>
      <c r="E15" s="99" t="n"/>
      <c r="F15" s="99" t="n"/>
    </row>
    <row r="16" ht="18.75" customHeight="1" s="79">
      <c r="A16" s="103" t="n"/>
      <c r="B16" s="103" t="n"/>
      <c r="C16" s="103" t="n"/>
      <c r="D16" s="103" t="n"/>
      <c r="E16" s="103" t="n"/>
      <c r="F16" s="103" t="n"/>
    </row>
    <row r="17" ht="18.75" customHeight="1" s="79">
      <c r="A17" s="99" t="n"/>
      <c r="B17" s="99" t="n"/>
      <c r="C17" s="99" t="n"/>
      <c r="D17" s="99" t="n"/>
      <c r="E17" s="99" t="n"/>
      <c r="F17" s="99" t="n"/>
    </row>
    <row r="18" ht="18.75" customHeight="1" s="79">
      <c r="A18" s="103" t="n"/>
      <c r="B18" s="103" t="n"/>
      <c r="C18" s="103" t="n"/>
      <c r="D18" s="103" t="n"/>
      <c r="E18" s="103" t="n"/>
      <c r="F18" s="103" t="n"/>
    </row>
    <row r="19" ht="18.75" customHeight="1" s="79">
      <c r="A19" s="99" t="n"/>
      <c r="B19" s="99" t="n"/>
      <c r="C19" s="99" t="n"/>
      <c r="D19" s="99" t="n"/>
      <c r="E19" s="99" t="n"/>
      <c r="F19" s="99" t="n"/>
    </row>
    <row r="20" ht="18.75" customHeight="1" s="79">
      <c r="A20" s="103" t="n"/>
      <c r="B20" s="103" t="n"/>
      <c r="C20" s="103" t="n"/>
      <c r="D20" s="103" t="n"/>
      <c r="E20" s="103" t="n"/>
      <c r="F20" s="103" t="n"/>
    </row>
    <row r="21" ht="18.75" customHeight="1" s="79">
      <c r="A21" s="99" t="n"/>
      <c r="B21" s="99" t="n"/>
      <c r="C21" s="99" t="n"/>
      <c r="D21" s="99" t="n"/>
      <c r="E21" s="99" t="n"/>
      <c r="F21" s="99" t="n"/>
    </row>
    <row r="22" ht="18.75" customHeight="1" s="79">
      <c r="A22" s="103" t="n"/>
      <c r="B22" s="103" t="n"/>
      <c r="C22" s="103" t="n"/>
      <c r="D22" s="103" t="n"/>
      <c r="E22" s="103" t="n"/>
      <c r="F22" s="103" t="n"/>
    </row>
    <row r="23" ht="18.75" customHeight="1" s="79">
      <c r="A23" s="99" t="n"/>
      <c r="B23" s="99" t="n"/>
      <c r="C23" s="99" t="n"/>
      <c r="D23" s="99" t="n"/>
      <c r="E23" s="99" t="n"/>
      <c r="F23" s="99" t="n"/>
    </row>
    <row r="24" ht="18.75" customHeight="1" s="79">
      <c r="A24" s="103" t="n"/>
      <c r="B24" s="103" t="n"/>
      <c r="C24" s="103" t="n"/>
      <c r="D24" s="103" t="n"/>
      <c r="E24" s="103" t="n"/>
      <c r="F24" s="103" t="n"/>
    </row>
    <row r="25" ht="18.75" customHeight="1" s="79">
      <c r="A25" s="99" t="n"/>
      <c r="B25" s="99" t="n"/>
      <c r="C25" s="99" t="n"/>
      <c r="D25" s="99" t="n"/>
      <c r="E25" s="99" t="n"/>
      <c r="F25" s="99" t="n"/>
    </row>
    <row r="26" ht="18.75" customHeight="1" s="79">
      <c r="A26" s="103" t="n"/>
      <c r="B26" s="103" t="n"/>
      <c r="C26" s="103" t="n"/>
      <c r="D26" s="103" t="n"/>
      <c r="E26" s="103" t="n"/>
      <c r="F26" s="103" t="n"/>
    </row>
    <row r="27" ht="18.75" customHeight="1" s="79">
      <c r="A27" s="99" t="n"/>
      <c r="B27" s="99" t="n"/>
      <c r="C27" s="99" t="n"/>
      <c r="D27" s="99" t="n"/>
      <c r="E27" s="99" t="n"/>
      <c r="F27" s="99" t="n"/>
    </row>
    <row r="28" ht="18.75" customHeight="1" s="79">
      <c r="A28" s="103" t="n"/>
      <c r="B28" s="103" t="n"/>
      <c r="C28" s="103" t="n"/>
      <c r="D28" s="103" t="n"/>
      <c r="E28" s="103" t="n"/>
      <c r="F28" s="103" t="n"/>
    </row>
    <row r="29" ht="18.75" customHeight="1" s="79">
      <c r="A29" s="99" t="n"/>
      <c r="B29" s="99" t="n"/>
      <c r="C29" s="99" t="n"/>
      <c r="D29" s="99" t="n"/>
      <c r="E29" s="99" t="n"/>
      <c r="F29" s="99" t="n"/>
    </row>
    <row r="30" ht="18.75" customHeight="1" s="79">
      <c r="A30" s="103" t="n"/>
      <c r="B30" s="103" t="n"/>
      <c r="C30" s="103" t="n"/>
      <c r="D30" s="103" t="n"/>
      <c r="E30" s="103" t="n"/>
      <c r="F30" s="103" t="n"/>
    </row>
    <row r="31" ht="18.75" customHeight="1" s="79">
      <c r="A31" s="99" t="n"/>
      <c r="B31" s="99" t="n"/>
      <c r="C31" s="99" t="n"/>
      <c r="D31" s="99" t="n"/>
      <c r="E31" s="99" t="n"/>
      <c r="F31" s="99" t="n"/>
    </row>
    <row r="32" ht="18.75" customHeight="1" s="79">
      <c r="A32" s="103" t="n"/>
      <c r="B32" s="103" t="n"/>
      <c r="C32" s="103" t="n"/>
      <c r="D32" s="103" t="n"/>
      <c r="E32" s="103" t="n"/>
      <c r="F32" s="103" t="n"/>
    </row>
    <row r="33" ht="18.75" customHeight="1" s="79">
      <c r="A33" s="99" t="n"/>
      <c r="B33" s="99" t="n"/>
      <c r="C33" s="99" t="n"/>
      <c r="D33" s="99" t="n"/>
      <c r="E33" s="99" t="n"/>
      <c r="F33" s="99" t="n"/>
    </row>
    <row r="34" ht="18.75" customHeight="1" s="79">
      <c r="A34" s="103" t="n"/>
      <c r="B34" s="103" t="n"/>
      <c r="C34" s="103" t="n"/>
      <c r="D34" s="103" t="n"/>
      <c r="E34" s="103" t="n"/>
      <c r="F34" s="103" t="n"/>
    </row>
    <row r="35" ht="18.75" customHeight="1" s="79">
      <c r="A35" s="99" t="n"/>
      <c r="B35" s="99" t="n"/>
      <c r="C35" s="99" t="n"/>
      <c r="D35" s="99" t="n"/>
      <c r="E35" s="99" t="n"/>
      <c r="F35" s="99" t="n"/>
    </row>
    <row r="36" ht="18.75" customHeight="1" s="79">
      <c r="A36" s="103" t="n"/>
      <c r="B36" s="103" t="n"/>
      <c r="C36" s="103" t="n"/>
      <c r="D36" s="103" t="n"/>
      <c r="E36" s="103" t="n"/>
      <c r="F36" s="103" t="n"/>
    </row>
    <row r="37" ht="18.75" customHeight="1" s="79">
      <c r="A37" s="99" t="n"/>
      <c r="B37" s="99" t="n"/>
      <c r="C37" s="99" t="n"/>
      <c r="D37" s="99" t="n"/>
      <c r="E37" s="99" t="n"/>
      <c r="F37" s="99" t="n"/>
    </row>
    <row r="38" ht="18.75" customHeight="1" s="79">
      <c r="A38" s="103" t="n"/>
      <c r="B38" s="103" t="n"/>
      <c r="C38" s="103" t="n"/>
      <c r="D38" s="103" t="n"/>
      <c r="E38" s="103" t="n"/>
      <c r="F38" s="103" t="n"/>
    </row>
    <row r="39" ht="18.75" customHeight="1" s="79">
      <c r="A39" s="99" t="n"/>
      <c r="B39" s="99" t="n"/>
      <c r="C39" s="99" t="n"/>
      <c r="D39" s="99" t="n"/>
      <c r="E39" s="99" t="n"/>
      <c r="F39" s="99" t="n"/>
    </row>
    <row r="40" ht="18.75" customHeight="1" s="79">
      <c r="A40" s="103" t="n"/>
      <c r="B40" s="103" t="n"/>
      <c r="C40" s="103" t="n"/>
      <c r="D40" s="103" t="n"/>
      <c r="E40" s="103" t="n"/>
      <c r="F40" s="103" t="n"/>
    </row>
    <row r="41" ht="18.75" customHeight="1" s="79">
      <c r="A41" s="99" t="n"/>
      <c r="B41" s="99" t="n"/>
      <c r="C41" s="99" t="n"/>
      <c r="D41" s="99" t="n"/>
      <c r="E41" s="99" t="n"/>
      <c r="F41" s="99" t="n"/>
    </row>
    <row r="42" ht="18.75" customHeight="1" s="79">
      <c r="A42" s="103" t="n"/>
      <c r="B42" s="103" t="n"/>
      <c r="C42" s="103" t="n"/>
      <c r="D42" s="103" t="n"/>
      <c r="E42" s="103" t="n"/>
      <c r="F42" s="103" t="n"/>
    </row>
    <row r="43" ht="18.75" customHeight="1" s="79">
      <c r="A43" s="99" t="n"/>
      <c r="B43" s="99" t="n"/>
      <c r="C43" s="99" t="n"/>
      <c r="D43" s="99" t="n"/>
      <c r="E43" s="99" t="n"/>
      <c r="F43" s="99" t="n"/>
    </row>
  </sheetData>
  <dataValidations count="2">
    <dataValidation sqref="B4:B1000" showDropDown="0" showInputMessage="0" showErrorMessage="0" allowBlank="1" type="list" errorStyle="stop" operator="between">
      <formula1>"Marketing,Material escritório,Equipamento,Deslocações,Taxas/bancos,Formação,Comunicações,Manutenção,Outros"</formula1>
      <formula2>0</formula2>
    </dataValidation>
    <dataValidation sqref="E4:E1000" showDropDown="0" showInputMessage="0" showErrorMessage="0" allowBlank="1" type="list" errorStyle="stop" operator="between">
      <formula1>"Numerário,MB Way,Transferência,Cartão,Débito direto,Cheque,Outro"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FA7C4"/>
    <outlinePr summaryBelow="1" summaryRight="1"/>
    <pageSetUpPr fitToPage="0"/>
  </sheetPr>
  <dimension ref="A1:F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78" min="1" max="1"/>
    <col width="32" customWidth="1" style="78" min="2" max="2"/>
    <col width="22" customWidth="1" style="78" min="3" max="3"/>
    <col width="14" customWidth="1" style="78" min="4" max="5"/>
    <col width="18" customWidth="1" style="78" min="6" max="6"/>
  </cols>
  <sheetData>
    <row r="1" ht="18.55" customHeight="1" s="79">
      <c r="A1" s="85" t="inlineStr">
        <is>
          <t>🔁 Fluxo de caixa</t>
        </is>
      </c>
    </row>
    <row r="2" ht="30" customHeight="1" s="79">
      <c r="A2" s="88" t="inlineStr">
        <is>
          <t>Data</t>
        </is>
      </c>
      <c r="B2" s="88" t="inlineStr">
        <is>
          <t>Descrição</t>
        </is>
      </c>
      <c r="C2" s="88" t="inlineStr">
        <is>
          <t>Categoria</t>
        </is>
      </c>
      <c r="D2" s="88" t="inlineStr">
        <is>
          <t>Entrada (€)</t>
        </is>
      </c>
      <c r="E2" s="88" t="inlineStr">
        <is>
          <t>Saída (€)</t>
        </is>
      </c>
      <c r="F2" s="88" t="inlineStr">
        <is>
          <t>Saldo acumulado (€)</t>
        </is>
      </c>
    </row>
    <row r="3" ht="15" customHeight="1" s="79">
      <c r="A3" s="109" t="n">
        <v>46054</v>
      </c>
      <c r="B3" s="91" t="inlineStr">
        <is>
          <t>Saldo inicial</t>
        </is>
      </c>
      <c r="C3" s="91" t="inlineStr">
        <is>
          <t>Abertura</t>
        </is>
      </c>
      <c r="D3" s="117" t="n">
        <v>2000</v>
      </c>
      <c r="E3" s="117" t="n">
        <v>0</v>
      </c>
      <c r="F3" s="126">
        <f>$D3-$E3</f>
        <v/>
      </c>
    </row>
    <row r="4" ht="15" customHeight="1" s="79">
      <c r="A4" s="109" t="n">
        <v>46065</v>
      </c>
      <c r="B4" s="91" t="inlineStr">
        <is>
          <t>Sinal R-2026-001 (João Silva)</t>
        </is>
      </c>
      <c r="C4" s="91" t="inlineStr">
        <is>
          <t>Recebimento cliente</t>
        </is>
      </c>
      <c r="D4" s="117" t="n">
        <v>430</v>
      </c>
      <c r="E4" s="117" t="n">
        <v>0</v>
      </c>
      <c r="F4" s="126">
        <f>$F3+$D4-$E4</f>
        <v/>
      </c>
    </row>
    <row r="5" ht="15" customHeight="1" s="79">
      <c r="A5" s="109" t="n">
        <v>46073</v>
      </c>
      <c r="B5" s="91" t="inlineStr">
        <is>
          <t>Pagamento R-2026-002 (Maria Santos)</t>
        </is>
      </c>
      <c r="C5" s="91" t="inlineStr">
        <is>
          <t>Recebimento cliente</t>
        </is>
      </c>
      <c r="D5" s="117" t="n">
        <v>8400</v>
      </c>
      <c r="E5" s="117" t="n">
        <v>0</v>
      </c>
      <c r="F5" s="126">
        <f>$F4+$D5-$E5</f>
        <v/>
      </c>
    </row>
    <row r="6" ht="15" customHeight="1" s="79">
      <c r="A6" s="109" t="n">
        <v>46075</v>
      </c>
      <c r="B6" s="91" t="inlineStr">
        <is>
          <t>Voos+hotel Maldivas</t>
        </is>
      </c>
      <c r="C6" s="91" t="inlineStr">
        <is>
          <t>Pagamento fornecedor</t>
        </is>
      </c>
      <c r="D6" s="117" t="n">
        <v>0</v>
      </c>
      <c r="E6" s="117" t="n">
        <v>6900</v>
      </c>
      <c r="F6" s="126">
        <f>$F5+$D6-$E6</f>
        <v/>
      </c>
    </row>
    <row r="7" ht="15" customHeight="1" s="79">
      <c r="A7" s="109" t="n">
        <v>46081</v>
      </c>
      <c r="B7" s="91" t="inlineStr">
        <is>
          <t>Custos fixos de fevereiro</t>
        </is>
      </c>
      <c r="C7" s="91" t="inlineStr">
        <is>
          <t>Custo fixo</t>
        </is>
      </c>
      <c r="D7" s="117" t="n">
        <v>0</v>
      </c>
      <c r="E7" s="117" t="n">
        <v>2592</v>
      </c>
      <c r="F7" s="126">
        <f>$F6+$D7-$E7</f>
        <v/>
      </c>
    </row>
    <row r="8" ht="15" customHeight="1" s="79">
      <c r="A8" s="109" t="n">
        <v>46086</v>
      </c>
      <c r="B8" s="91" t="inlineStr">
        <is>
          <t>Pagamento R-2026-003 (Pedro Costa)</t>
        </is>
      </c>
      <c r="C8" s="91" t="inlineStr">
        <is>
          <t>Recebimento cliente</t>
        </is>
      </c>
      <c r="D8" s="117" t="n">
        <v>1250</v>
      </c>
      <c r="E8" s="117" t="n">
        <v>0</v>
      </c>
      <c r="F8" s="126">
        <f>$F7+$D8-$E8</f>
        <v/>
      </c>
    </row>
    <row r="9" ht="15" customHeight="1" s="79">
      <c r="A9" s="109" t="n">
        <v>46087</v>
      </c>
      <c r="B9" s="91" t="inlineStr">
        <is>
          <t>Voos+hotel Roma</t>
        </is>
      </c>
      <c r="C9" s="91" t="inlineStr">
        <is>
          <t>Pagamento fornecedor</t>
        </is>
      </c>
      <c r="D9" s="117" t="n">
        <v>0</v>
      </c>
      <c r="E9" s="117" t="n">
        <v>890</v>
      </c>
      <c r="F9" s="126">
        <f>$F8+$D9-$E9</f>
        <v/>
      </c>
    </row>
    <row r="10" ht="15" customHeight="1" s="79">
      <c r="A10" s="109" t="n">
        <v>46096</v>
      </c>
      <c r="B10" s="91" t="inlineStr">
        <is>
          <t>Pagamento R-2026-004 (Ana Ferreira)</t>
        </is>
      </c>
      <c r="C10" s="91" t="inlineStr">
        <is>
          <t>Recebimento cliente</t>
        </is>
      </c>
      <c r="D10" s="117" t="n">
        <v>145</v>
      </c>
      <c r="E10" s="117" t="n">
        <v>0</v>
      </c>
      <c r="F10" s="126">
        <f>$F9+$D10-$E10</f>
        <v/>
      </c>
    </row>
    <row r="11" ht="15" customHeight="1" s="79">
      <c r="A11" s="109" t="n">
        <v>46103</v>
      </c>
      <c r="B11" s="91" t="inlineStr">
        <is>
          <t>Prestações Safari R-2026-005</t>
        </is>
      </c>
      <c r="C11" s="91" t="inlineStr">
        <is>
          <t>Recebimento cliente</t>
        </is>
      </c>
      <c r="D11" s="117" t="n">
        <v>5200</v>
      </c>
      <c r="E11" s="117" t="n">
        <v>0</v>
      </c>
      <c r="F11" s="126">
        <f>$F10+$D11-$E11</f>
        <v/>
      </c>
    </row>
    <row r="12" ht="15" customHeight="1" s="79">
      <c r="A12" s="109" t="n">
        <v>46109</v>
      </c>
      <c r="B12" s="91" t="inlineStr">
        <is>
          <t>Comissões de fevereiro</t>
        </is>
      </c>
      <c r="C12" s="91" t="inlineStr">
        <is>
          <t>Comissão</t>
        </is>
      </c>
      <c r="D12" s="117" t="n">
        <v>0</v>
      </c>
      <c r="E12" s="117" t="n">
        <v>102</v>
      </c>
      <c r="F12" s="126">
        <f>$F11+$D12-$E12</f>
        <v/>
      </c>
    </row>
    <row r="13" ht="15" customHeight="1" s="79">
      <c r="A13" s="109" t="n">
        <v>46112</v>
      </c>
      <c r="B13" s="91" t="inlineStr">
        <is>
          <t>Custos fixos de março</t>
        </is>
      </c>
      <c r="C13" s="91" t="inlineStr">
        <is>
          <t>Custo fixo</t>
        </is>
      </c>
      <c r="D13" s="117" t="n">
        <v>0</v>
      </c>
      <c r="E13" s="117" t="n">
        <v>2592</v>
      </c>
      <c r="F13" s="126">
        <f>$F12+$D13-$E13</f>
        <v/>
      </c>
    </row>
    <row r="15" ht="15" customHeight="1" s="79">
      <c r="B15" s="127" t="inlineStr">
        <is>
          <t>— Gastos adicionais (automático) —</t>
        </is>
      </c>
    </row>
    <row r="16" ht="15" customHeight="1" s="79">
      <c r="A16" s="109">
        <f>IF('Gastos Adicionais'!$A4="","",'Gastos Adicionais'!$A4)</f>
        <v/>
      </c>
      <c r="B16" s="91">
        <f>IF('Gastos Adicionais'!$A4="","","Gasto: "&amp;'Gastos Adicionais'!$C4)</f>
        <v/>
      </c>
      <c r="C16" s="91">
        <f>IF('Gastos Adicionais'!$A4="","",'Gastos Adicionais'!$B4)</f>
        <v/>
      </c>
      <c r="D16" s="119" t="n"/>
      <c r="E16" s="113">
        <f>IF('Gastos Adicionais'!$A4="","",'Gastos Adicionais'!$D4)</f>
        <v/>
      </c>
      <c r="F16" s="126">
        <f>IF('Gastos Adicionais'!$A4="","",$F$13-SUM('Gastos Adicionais'!$D$4:$D4))</f>
        <v/>
      </c>
    </row>
    <row r="17" ht="15" customHeight="1" s="79">
      <c r="A17" s="109">
        <f>IF('Gastos Adicionais'!$A5="","",'Gastos Adicionais'!$A5)</f>
        <v/>
      </c>
      <c r="B17" s="91">
        <f>IF('Gastos Adicionais'!$A5="","","Gasto: "&amp;'Gastos Adicionais'!$C5)</f>
        <v/>
      </c>
      <c r="C17" s="91">
        <f>IF('Gastos Adicionais'!$A5="","",'Gastos Adicionais'!$B5)</f>
        <v/>
      </c>
      <c r="D17" s="119" t="n"/>
      <c r="E17" s="113">
        <f>IF('Gastos Adicionais'!$A5="","",'Gastos Adicionais'!$D5)</f>
        <v/>
      </c>
      <c r="F17" s="126">
        <f>IF('Gastos Adicionais'!$A5="","",$F$13-SUM('Gastos Adicionais'!$D$4:$D5))</f>
        <v/>
      </c>
    </row>
    <row r="18" ht="15" customHeight="1" s="79">
      <c r="A18" s="109">
        <f>IF('Gastos Adicionais'!$A6="","",'Gastos Adicionais'!$A6)</f>
        <v/>
      </c>
      <c r="B18" s="91">
        <f>IF('Gastos Adicionais'!$A6="","","Gasto: "&amp;'Gastos Adicionais'!$C6)</f>
        <v/>
      </c>
      <c r="C18" s="91">
        <f>IF('Gastos Adicionais'!$A6="","",'Gastos Adicionais'!$B6)</f>
        <v/>
      </c>
      <c r="D18" s="119" t="n"/>
      <c r="E18" s="113">
        <f>IF('Gastos Adicionais'!$A6="","",'Gastos Adicionais'!$D6)</f>
        <v/>
      </c>
      <c r="F18" s="126">
        <f>IF('Gastos Adicionais'!$A6="","",$F$13-SUM('Gastos Adicionais'!$D$4:$D6))</f>
        <v/>
      </c>
    </row>
    <row r="19" ht="15" customHeight="1" s="79">
      <c r="A19" s="109">
        <f>IF('Gastos Adicionais'!$A7="","",'Gastos Adicionais'!$A7)</f>
        <v/>
      </c>
      <c r="B19" s="91">
        <f>IF('Gastos Adicionais'!$A7="","","Gasto: "&amp;'Gastos Adicionais'!$C7)</f>
        <v/>
      </c>
      <c r="C19" s="91">
        <f>IF('Gastos Adicionais'!$A7="","",'Gastos Adicionais'!$B7)</f>
        <v/>
      </c>
      <c r="D19" s="119" t="n"/>
      <c r="E19" s="113">
        <f>IF('Gastos Adicionais'!$A7="","",'Gastos Adicionais'!$D7)</f>
        <v/>
      </c>
      <c r="F19" s="126">
        <f>IF('Gastos Adicionais'!$A7="","",$F$13-SUM('Gastos Adicionais'!$D$4:$D7))</f>
        <v/>
      </c>
    </row>
    <row r="20" ht="15" customHeight="1" s="79">
      <c r="A20" s="109">
        <f>IF('Gastos Adicionais'!$A8="","",'Gastos Adicionais'!$A8)</f>
        <v/>
      </c>
      <c r="B20" s="91">
        <f>IF('Gastos Adicionais'!$A8="","","Gasto: "&amp;'Gastos Adicionais'!$C8)</f>
        <v/>
      </c>
      <c r="C20" s="91">
        <f>IF('Gastos Adicionais'!$A8="","",'Gastos Adicionais'!$B8)</f>
        <v/>
      </c>
      <c r="D20" s="119" t="n"/>
      <c r="E20" s="113">
        <f>IF('Gastos Adicionais'!$A8="","",'Gastos Adicionais'!$D8)</f>
        <v/>
      </c>
      <c r="F20" s="126">
        <f>IF('Gastos Adicionais'!$A8="","",$F$13-SUM('Gastos Adicionais'!$D$4:$D8))</f>
        <v/>
      </c>
    </row>
    <row r="21" ht="15" customHeight="1" s="79">
      <c r="A21" s="109">
        <f>IF('Gastos Adicionais'!$A9="","",'Gastos Adicionais'!$A9)</f>
        <v/>
      </c>
      <c r="B21" s="91">
        <f>IF('Gastos Adicionais'!$A9="","","Gasto: "&amp;'Gastos Adicionais'!$C9)</f>
        <v/>
      </c>
      <c r="C21" s="91">
        <f>IF('Gastos Adicionais'!$A9="","",'Gastos Adicionais'!$B9)</f>
        <v/>
      </c>
      <c r="D21" s="119" t="n"/>
      <c r="E21" s="113">
        <f>IF('Gastos Adicionais'!$A9="","",'Gastos Adicionais'!$D9)</f>
        <v/>
      </c>
      <c r="F21" s="126">
        <f>IF('Gastos Adicionais'!$A9="","",$F$13-SUM('Gastos Adicionais'!$D$4:$D9))</f>
        <v/>
      </c>
    </row>
    <row r="22" ht="15" customHeight="1" s="79">
      <c r="A22" s="109">
        <f>IF('Gastos Adicionais'!$A10="","",'Gastos Adicionais'!$A10)</f>
        <v/>
      </c>
      <c r="B22" s="91">
        <f>IF('Gastos Adicionais'!$A10="","","Gasto: "&amp;'Gastos Adicionais'!$C10)</f>
        <v/>
      </c>
      <c r="C22" s="91">
        <f>IF('Gastos Adicionais'!$A10="","",'Gastos Adicionais'!$B10)</f>
        <v/>
      </c>
      <c r="D22" s="119" t="n"/>
      <c r="E22" s="113">
        <f>IF('Gastos Adicionais'!$A10="","",'Gastos Adicionais'!$D10)</f>
        <v/>
      </c>
      <c r="F22" s="126">
        <f>IF('Gastos Adicionais'!$A10="","",$F$13-SUM('Gastos Adicionais'!$D$4:$D10))</f>
        <v/>
      </c>
    </row>
    <row r="23" ht="15" customHeight="1" s="79">
      <c r="A23" s="109">
        <f>IF('Gastos Adicionais'!$A11="","",'Gastos Adicionais'!$A11)</f>
        <v/>
      </c>
      <c r="B23" s="91">
        <f>IF('Gastos Adicionais'!$A11="","","Gasto: "&amp;'Gastos Adicionais'!$C11)</f>
        <v/>
      </c>
      <c r="C23" s="91">
        <f>IF('Gastos Adicionais'!$A11="","",'Gastos Adicionais'!$B11)</f>
        <v/>
      </c>
      <c r="D23" s="119" t="n"/>
      <c r="E23" s="113">
        <f>IF('Gastos Adicionais'!$A11="","",'Gastos Adicionais'!$D11)</f>
        <v/>
      </c>
      <c r="F23" s="126">
        <f>IF('Gastos Adicionais'!$A11="","",$F$13-SUM('Gastos Adicionais'!$D$4:$D11))</f>
        <v/>
      </c>
    </row>
    <row r="24" ht="15" customHeight="1" s="79">
      <c r="A24" s="109">
        <f>IF('Gastos Adicionais'!$A12="","",'Gastos Adicionais'!$A12)</f>
        <v/>
      </c>
      <c r="B24" s="91">
        <f>IF('Gastos Adicionais'!$A12="","","Gasto: "&amp;'Gastos Adicionais'!$C12)</f>
        <v/>
      </c>
      <c r="C24" s="91">
        <f>IF('Gastos Adicionais'!$A12="","",'Gastos Adicionais'!$B12)</f>
        <v/>
      </c>
      <c r="D24" s="119" t="n"/>
      <c r="E24" s="113">
        <f>IF('Gastos Adicionais'!$A12="","",'Gastos Adicionais'!$D12)</f>
        <v/>
      </c>
      <c r="F24" s="126">
        <f>IF('Gastos Adicionais'!$A12="","",$F$13-SUM('Gastos Adicionais'!$D$4:$D12))</f>
        <v/>
      </c>
    </row>
    <row r="25" ht="15" customHeight="1" s="79">
      <c r="A25" s="109">
        <f>IF('Gastos Adicionais'!$A13="","",'Gastos Adicionais'!$A13)</f>
        <v/>
      </c>
      <c r="B25" s="91">
        <f>IF('Gastos Adicionais'!$A13="","","Gasto: "&amp;'Gastos Adicionais'!$C13)</f>
        <v/>
      </c>
      <c r="C25" s="91">
        <f>IF('Gastos Adicionais'!$A13="","",'Gastos Adicionais'!$B13)</f>
        <v/>
      </c>
      <c r="D25" s="119" t="n"/>
      <c r="E25" s="113">
        <f>IF('Gastos Adicionais'!$A13="","",'Gastos Adicionais'!$D13)</f>
        <v/>
      </c>
      <c r="F25" s="126">
        <f>IF('Gastos Adicionais'!$A13="","",$F$13-SUM('Gastos Adicionais'!$D$4:$D13))</f>
        <v/>
      </c>
    </row>
    <row r="26" ht="15" customHeight="1" s="79">
      <c r="A26" s="109">
        <f>IF('Gastos Adicionais'!$A14="","",'Gastos Adicionais'!$A14)</f>
        <v/>
      </c>
      <c r="B26" s="91">
        <f>IF('Gastos Adicionais'!$A14="","","Gasto: "&amp;'Gastos Adicionais'!$C14)</f>
        <v/>
      </c>
      <c r="C26" s="91">
        <f>IF('Gastos Adicionais'!$A14="","",'Gastos Adicionais'!$B14)</f>
        <v/>
      </c>
      <c r="D26" s="119" t="n"/>
      <c r="E26" s="113">
        <f>IF('Gastos Adicionais'!$A14="","",'Gastos Adicionais'!$D14)</f>
        <v/>
      </c>
      <c r="F26" s="126">
        <f>IF('Gastos Adicionais'!$A14="","",$F$13-SUM('Gastos Adicionais'!$D$4:$D14))</f>
        <v/>
      </c>
    </row>
    <row r="27" ht="15" customHeight="1" s="79">
      <c r="A27" s="109">
        <f>IF('Gastos Adicionais'!$A15="","",'Gastos Adicionais'!$A15)</f>
        <v/>
      </c>
      <c r="B27" s="91">
        <f>IF('Gastos Adicionais'!$A15="","","Gasto: "&amp;'Gastos Adicionais'!$C15)</f>
        <v/>
      </c>
      <c r="C27" s="91">
        <f>IF('Gastos Adicionais'!$A15="","",'Gastos Adicionais'!$B15)</f>
        <v/>
      </c>
      <c r="D27" s="119" t="n"/>
      <c r="E27" s="113">
        <f>IF('Gastos Adicionais'!$A15="","",'Gastos Adicionais'!$D15)</f>
        <v/>
      </c>
      <c r="F27" s="126">
        <f>IF('Gastos Adicionais'!$A15="","",$F$13-SUM('Gastos Adicionais'!$D$4:$D15))</f>
        <v/>
      </c>
    </row>
    <row r="28" ht="15" customHeight="1" s="79">
      <c r="A28" s="109">
        <f>IF('Gastos Adicionais'!$A16="","",'Gastos Adicionais'!$A16)</f>
        <v/>
      </c>
      <c r="B28" s="91">
        <f>IF('Gastos Adicionais'!$A16="","","Gasto: "&amp;'Gastos Adicionais'!$C16)</f>
        <v/>
      </c>
      <c r="C28" s="91">
        <f>IF('Gastos Adicionais'!$A16="","",'Gastos Adicionais'!$B16)</f>
        <v/>
      </c>
      <c r="D28" s="119" t="n"/>
      <c r="E28" s="113">
        <f>IF('Gastos Adicionais'!$A16="","",'Gastos Adicionais'!$D16)</f>
        <v/>
      </c>
      <c r="F28" s="126">
        <f>IF('Gastos Adicionais'!$A16="","",$F$13-SUM('Gastos Adicionais'!$D$4:$D16))</f>
        <v/>
      </c>
    </row>
    <row r="29" ht="15" customHeight="1" s="79">
      <c r="A29" s="109">
        <f>IF('Gastos Adicionais'!$A17="","",'Gastos Adicionais'!$A17)</f>
        <v/>
      </c>
      <c r="B29" s="91">
        <f>IF('Gastos Adicionais'!$A17="","","Gasto: "&amp;'Gastos Adicionais'!$C17)</f>
        <v/>
      </c>
      <c r="C29" s="91">
        <f>IF('Gastos Adicionais'!$A17="","",'Gastos Adicionais'!$B17)</f>
        <v/>
      </c>
      <c r="D29" s="119" t="n"/>
      <c r="E29" s="113">
        <f>IF('Gastos Adicionais'!$A17="","",'Gastos Adicionais'!$D17)</f>
        <v/>
      </c>
      <c r="F29" s="126">
        <f>IF('Gastos Adicionais'!$A17="","",$F$13-SUM('Gastos Adicionais'!$D$4:$D17))</f>
        <v/>
      </c>
    </row>
    <row r="30" ht="15" customHeight="1" s="79">
      <c r="A30" s="109">
        <f>IF('Gastos Adicionais'!$A18="","",'Gastos Adicionais'!$A18)</f>
        <v/>
      </c>
      <c r="B30" s="91">
        <f>IF('Gastos Adicionais'!$A18="","","Gasto: "&amp;'Gastos Adicionais'!$C18)</f>
        <v/>
      </c>
      <c r="C30" s="91">
        <f>IF('Gastos Adicionais'!$A18="","",'Gastos Adicionais'!$B18)</f>
        <v/>
      </c>
      <c r="D30" s="119" t="n"/>
      <c r="E30" s="113">
        <f>IF('Gastos Adicionais'!$A18="","",'Gastos Adicionais'!$D18)</f>
        <v/>
      </c>
      <c r="F30" s="126">
        <f>IF('Gastos Adicionais'!$A18="","",$F$13-SUM('Gastos Adicionais'!$D$4:$D18))</f>
        <v/>
      </c>
    </row>
    <row r="31" ht="15" customHeight="1" s="79">
      <c r="A31" s="109">
        <f>IF('Gastos Adicionais'!$A19="","",'Gastos Adicionais'!$A19)</f>
        <v/>
      </c>
      <c r="B31" s="91">
        <f>IF('Gastos Adicionais'!$A19="","","Gasto: "&amp;'Gastos Adicionais'!$C19)</f>
        <v/>
      </c>
      <c r="C31" s="91">
        <f>IF('Gastos Adicionais'!$A19="","",'Gastos Adicionais'!$B19)</f>
        <v/>
      </c>
      <c r="D31" s="119" t="n"/>
      <c r="E31" s="113">
        <f>IF('Gastos Adicionais'!$A19="","",'Gastos Adicionais'!$D19)</f>
        <v/>
      </c>
      <c r="F31" s="126">
        <f>IF('Gastos Adicionais'!$A19="","",$F$13-SUM('Gastos Adicionais'!$D$4:$D19))</f>
        <v/>
      </c>
    </row>
    <row r="32" ht="15" customHeight="1" s="79">
      <c r="A32" s="109">
        <f>IF('Gastos Adicionais'!$A20="","",'Gastos Adicionais'!$A20)</f>
        <v/>
      </c>
      <c r="B32" s="91">
        <f>IF('Gastos Adicionais'!$A20="","","Gasto: "&amp;'Gastos Adicionais'!$C20)</f>
        <v/>
      </c>
      <c r="C32" s="91">
        <f>IF('Gastos Adicionais'!$A20="","",'Gastos Adicionais'!$B20)</f>
        <v/>
      </c>
      <c r="D32" s="119" t="n"/>
      <c r="E32" s="113">
        <f>IF('Gastos Adicionais'!$A20="","",'Gastos Adicionais'!$D20)</f>
        <v/>
      </c>
      <c r="F32" s="126">
        <f>IF('Gastos Adicionais'!$A20="","",$F$13-SUM('Gastos Adicionais'!$D$4:$D20))</f>
        <v/>
      </c>
    </row>
    <row r="33" ht="15" customHeight="1" s="79">
      <c r="A33" s="109">
        <f>IF('Gastos Adicionais'!$A21="","",'Gastos Adicionais'!$A21)</f>
        <v/>
      </c>
      <c r="B33" s="91">
        <f>IF('Gastos Adicionais'!$A21="","","Gasto: "&amp;'Gastos Adicionais'!$C21)</f>
        <v/>
      </c>
      <c r="C33" s="91">
        <f>IF('Gastos Adicionais'!$A21="","",'Gastos Adicionais'!$B21)</f>
        <v/>
      </c>
      <c r="D33" s="119" t="n"/>
      <c r="E33" s="113">
        <f>IF('Gastos Adicionais'!$A21="","",'Gastos Adicionais'!$D21)</f>
        <v/>
      </c>
      <c r="F33" s="126">
        <f>IF('Gastos Adicionais'!$A21="","",$F$13-SUM('Gastos Adicionais'!$D$4:$D21))</f>
        <v/>
      </c>
    </row>
    <row r="34" ht="15" customHeight="1" s="79">
      <c r="A34" s="109">
        <f>IF('Gastos Adicionais'!$A22="","",'Gastos Adicionais'!$A22)</f>
        <v/>
      </c>
      <c r="B34" s="91">
        <f>IF('Gastos Adicionais'!$A22="","","Gasto: "&amp;'Gastos Adicionais'!$C22)</f>
        <v/>
      </c>
      <c r="C34" s="91">
        <f>IF('Gastos Adicionais'!$A22="","",'Gastos Adicionais'!$B22)</f>
        <v/>
      </c>
      <c r="D34" s="119" t="n"/>
      <c r="E34" s="113">
        <f>IF('Gastos Adicionais'!$A22="","",'Gastos Adicionais'!$D22)</f>
        <v/>
      </c>
      <c r="F34" s="126">
        <f>IF('Gastos Adicionais'!$A22="","",$F$13-SUM('Gastos Adicionais'!$D$4:$D22))</f>
        <v/>
      </c>
    </row>
    <row r="35" ht="15" customHeight="1" s="79">
      <c r="A35" s="109">
        <f>IF('Gastos Adicionais'!$A23="","",'Gastos Adicionais'!$A23)</f>
        <v/>
      </c>
      <c r="B35" s="91">
        <f>IF('Gastos Adicionais'!$A23="","","Gasto: "&amp;'Gastos Adicionais'!$C23)</f>
        <v/>
      </c>
      <c r="C35" s="91">
        <f>IF('Gastos Adicionais'!$A23="","",'Gastos Adicionais'!$B23)</f>
        <v/>
      </c>
      <c r="D35" s="119" t="n"/>
      <c r="E35" s="113">
        <f>IF('Gastos Adicionais'!$A23="","",'Gastos Adicionais'!$D23)</f>
        <v/>
      </c>
      <c r="F35" s="126">
        <f>IF('Gastos Adicionais'!$A23="","",$F$13-SUM('Gastos Adicionais'!$D$4:$D23))</f>
        <v/>
      </c>
    </row>
    <row r="36" ht="15" customHeight="1" s="79">
      <c r="A36" s="109">
        <f>IF('Gastos Adicionais'!$A24="","",'Gastos Adicionais'!$A24)</f>
        <v/>
      </c>
      <c r="B36" s="91">
        <f>IF('Gastos Adicionais'!$A24="","","Gasto: "&amp;'Gastos Adicionais'!$C24)</f>
        <v/>
      </c>
      <c r="C36" s="91">
        <f>IF('Gastos Adicionais'!$A24="","",'Gastos Adicionais'!$B24)</f>
        <v/>
      </c>
      <c r="D36" s="119" t="n"/>
      <c r="E36" s="113">
        <f>IF('Gastos Adicionais'!$A24="","",'Gastos Adicionais'!$D24)</f>
        <v/>
      </c>
      <c r="F36" s="126">
        <f>IF('Gastos Adicionais'!$A24="","",$F$13-SUM('Gastos Adicionais'!$D$4:$D24))</f>
        <v/>
      </c>
    </row>
    <row r="37" ht="15" customHeight="1" s="79">
      <c r="A37" s="109">
        <f>IF('Gastos Adicionais'!$A25="","",'Gastos Adicionais'!$A25)</f>
        <v/>
      </c>
      <c r="B37" s="91">
        <f>IF('Gastos Adicionais'!$A25="","","Gasto: "&amp;'Gastos Adicionais'!$C25)</f>
        <v/>
      </c>
      <c r="C37" s="91">
        <f>IF('Gastos Adicionais'!$A25="","",'Gastos Adicionais'!$B25)</f>
        <v/>
      </c>
      <c r="D37" s="119" t="n"/>
      <c r="E37" s="113">
        <f>IF('Gastos Adicionais'!$A25="","",'Gastos Adicionais'!$D25)</f>
        <v/>
      </c>
      <c r="F37" s="126">
        <f>IF('Gastos Adicionais'!$A25="","",$F$13-SUM('Gastos Adicionais'!$D$4:$D25))</f>
        <v/>
      </c>
    </row>
    <row r="38" ht="15" customHeight="1" s="79">
      <c r="A38" s="109">
        <f>IF('Gastos Adicionais'!$A26="","",'Gastos Adicionais'!$A26)</f>
        <v/>
      </c>
      <c r="B38" s="91">
        <f>IF('Gastos Adicionais'!$A26="","","Gasto: "&amp;'Gastos Adicionais'!$C26)</f>
        <v/>
      </c>
      <c r="C38" s="91">
        <f>IF('Gastos Adicionais'!$A26="","",'Gastos Adicionais'!$B26)</f>
        <v/>
      </c>
      <c r="D38" s="119" t="n"/>
      <c r="E38" s="113">
        <f>IF('Gastos Adicionais'!$A26="","",'Gastos Adicionais'!$D26)</f>
        <v/>
      </c>
      <c r="F38" s="126">
        <f>IF('Gastos Adicionais'!$A26="","",$F$13-SUM('Gastos Adicionais'!$D$4:$D26))</f>
        <v/>
      </c>
    </row>
    <row r="39" ht="15" customHeight="1" s="79">
      <c r="A39" s="109">
        <f>IF('Gastos Adicionais'!$A27="","",'Gastos Adicionais'!$A27)</f>
        <v/>
      </c>
      <c r="B39" s="91">
        <f>IF('Gastos Adicionais'!$A27="","","Gasto: "&amp;'Gastos Adicionais'!$C27)</f>
        <v/>
      </c>
      <c r="C39" s="91">
        <f>IF('Gastos Adicionais'!$A27="","",'Gastos Adicionais'!$B27)</f>
        <v/>
      </c>
      <c r="D39" s="119" t="n"/>
      <c r="E39" s="113">
        <f>IF('Gastos Adicionais'!$A27="","",'Gastos Adicionais'!$D27)</f>
        <v/>
      </c>
      <c r="F39" s="126">
        <f>IF('Gastos Adicionais'!$A27="","",$F$13-SUM('Gastos Adicionais'!$D$4:$D27))</f>
        <v/>
      </c>
    </row>
    <row r="40" ht="15" customHeight="1" s="79">
      <c r="A40" s="109">
        <f>IF('Gastos Adicionais'!$A28="","",'Gastos Adicionais'!$A28)</f>
        <v/>
      </c>
      <c r="B40" s="91">
        <f>IF('Gastos Adicionais'!$A28="","","Gasto: "&amp;'Gastos Adicionais'!$C28)</f>
        <v/>
      </c>
      <c r="C40" s="91">
        <f>IF('Gastos Adicionais'!$A28="","",'Gastos Adicionais'!$B28)</f>
        <v/>
      </c>
      <c r="D40" s="119" t="n"/>
      <c r="E40" s="113">
        <f>IF('Gastos Adicionais'!$A28="","",'Gastos Adicionais'!$D28)</f>
        <v/>
      </c>
      <c r="F40" s="126">
        <f>IF('Gastos Adicionais'!$A28="","",$F$13-SUM('Gastos Adicionais'!$D$4:$D28))</f>
        <v/>
      </c>
    </row>
    <row r="41" ht="15" customHeight="1" s="79">
      <c r="A41" s="109">
        <f>IF('Gastos Adicionais'!$A29="","",'Gastos Adicionais'!$A29)</f>
        <v/>
      </c>
      <c r="B41" s="91">
        <f>IF('Gastos Adicionais'!$A29="","","Gasto: "&amp;'Gastos Adicionais'!$C29)</f>
        <v/>
      </c>
      <c r="C41" s="91">
        <f>IF('Gastos Adicionais'!$A29="","",'Gastos Adicionais'!$B29)</f>
        <v/>
      </c>
      <c r="D41" s="119" t="n"/>
      <c r="E41" s="113">
        <f>IF('Gastos Adicionais'!$A29="","",'Gastos Adicionais'!$D29)</f>
        <v/>
      </c>
      <c r="F41" s="126">
        <f>IF('Gastos Adicionais'!$A29="","",$F$13-SUM('Gastos Adicionais'!$D$4:$D29))</f>
        <v/>
      </c>
    </row>
    <row r="42" ht="15" customHeight="1" s="79">
      <c r="A42" s="109">
        <f>IF('Gastos Adicionais'!$A30="","",'Gastos Adicionais'!$A30)</f>
        <v/>
      </c>
      <c r="B42" s="91">
        <f>IF('Gastos Adicionais'!$A30="","","Gasto: "&amp;'Gastos Adicionais'!$C30)</f>
        <v/>
      </c>
      <c r="C42" s="91">
        <f>IF('Gastos Adicionais'!$A30="","",'Gastos Adicionais'!$B30)</f>
        <v/>
      </c>
      <c r="D42" s="119" t="n"/>
      <c r="E42" s="113">
        <f>IF('Gastos Adicionais'!$A30="","",'Gastos Adicionais'!$D30)</f>
        <v/>
      </c>
      <c r="F42" s="126">
        <f>IF('Gastos Adicionais'!$A30="","",$F$13-SUM('Gastos Adicionais'!$D$4:$D30))</f>
        <v/>
      </c>
    </row>
    <row r="43" ht="15" customHeight="1" s="79">
      <c r="A43" s="109">
        <f>IF('Gastos Adicionais'!$A31="","",'Gastos Adicionais'!$A31)</f>
        <v/>
      </c>
      <c r="B43" s="91">
        <f>IF('Gastos Adicionais'!$A31="","","Gasto: "&amp;'Gastos Adicionais'!$C31)</f>
        <v/>
      </c>
      <c r="C43" s="91">
        <f>IF('Gastos Adicionais'!$A31="","",'Gastos Adicionais'!$B31)</f>
        <v/>
      </c>
      <c r="D43" s="119" t="n"/>
      <c r="E43" s="113">
        <f>IF('Gastos Adicionais'!$A31="","",'Gastos Adicionais'!$D31)</f>
        <v/>
      </c>
      <c r="F43" s="126">
        <f>IF('Gastos Adicionais'!$A31="","",$F$13-SUM('Gastos Adicionais'!$D$4:$D31))</f>
        <v/>
      </c>
    </row>
    <row r="44" ht="15" customHeight="1" s="79">
      <c r="A44" s="109">
        <f>IF('Gastos Adicionais'!$A32="","",'Gastos Adicionais'!$A32)</f>
        <v/>
      </c>
      <c r="B44" s="91">
        <f>IF('Gastos Adicionais'!$A32="","","Gasto: "&amp;'Gastos Adicionais'!$C32)</f>
        <v/>
      </c>
      <c r="C44" s="91">
        <f>IF('Gastos Adicionais'!$A32="","",'Gastos Adicionais'!$B32)</f>
        <v/>
      </c>
      <c r="D44" s="119" t="n"/>
      <c r="E44" s="113">
        <f>IF('Gastos Adicionais'!$A32="","",'Gastos Adicionais'!$D32)</f>
        <v/>
      </c>
      <c r="F44" s="126">
        <f>IF('Gastos Adicionais'!$A32="","",$F$13-SUM('Gastos Adicionais'!$D$4:$D32))</f>
        <v/>
      </c>
    </row>
    <row r="45" ht="15" customHeight="1" s="79">
      <c r="A45" s="109">
        <f>IF('Gastos Adicionais'!$A33="","",'Gastos Adicionais'!$A33)</f>
        <v/>
      </c>
      <c r="B45" s="91">
        <f>IF('Gastos Adicionais'!$A33="","","Gasto: "&amp;'Gastos Adicionais'!$C33)</f>
        <v/>
      </c>
      <c r="C45" s="91">
        <f>IF('Gastos Adicionais'!$A33="","",'Gastos Adicionais'!$B33)</f>
        <v/>
      </c>
      <c r="D45" s="119" t="n"/>
      <c r="E45" s="113">
        <f>IF('Gastos Adicionais'!$A33="","",'Gastos Adicionais'!$D33)</f>
        <v/>
      </c>
      <c r="F45" s="126">
        <f>IF('Gastos Adicionais'!$A33="","",$F$13-SUM('Gastos Adicionais'!$D$4:$D33))</f>
        <v/>
      </c>
    </row>
    <row r="47" ht="15" customHeight="1" s="79">
      <c r="E47" s="120" t="inlineStr">
        <is>
          <t>Saldo de caixa (final):</t>
        </is>
      </c>
      <c r="F47" s="121">
        <f>$F$13-SUM('Gastos Adicionais'!$D$4:$D$1000)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F2A93B"/>
    <outlinePr summaryBelow="1" summaryRight="1"/>
    <pageSetUpPr fitToPage="0"/>
  </sheetPr>
  <dimension ref="A1:K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8" min="1" max="1"/>
    <col width="17" customWidth="1" style="78" min="2" max="2"/>
    <col width="20" customWidth="1" style="78" min="3" max="3"/>
    <col width="13" customWidth="1" style="78" min="4" max="4"/>
    <col width="14" customWidth="1" style="78" min="5" max="6"/>
    <col width="11" customWidth="1" style="78" min="7" max="7"/>
    <col width="8" customWidth="1" style="78" min="8" max="8"/>
    <col width="17" customWidth="1" style="78" min="9" max="9"/>
    <col width="11" customWidth="1" style="78" min="10" max="10"/>
    <col width="16" customWidth="1" style="78" min="11" max="11"/>
  </cols>
  <sheetData>
    <row r="1" ht="18.55" customHeight="1" s="79">
      <c r="A1" s="85" t="inlineStr">
        <is>
          <t>⏳ Contas a receber</t>
        </is>
      </c>
    </row>
    <row r="2" ht="15" customHeight="1" s="79">
      <c r="A2" s="86" t="inlineStr">
        <is>
          <t>Quanto falta receber de cada cliente</t>
        </is>
      </c>
    </row>
    <row r="3" ht="30" customHeight="1" s="79">
      <c r="A3" s="89" t="inlineStr">
        <is>
          <t>ID Reserva</t>
        </is>
      </c>
      <c r="B3" s="89" t="inlineStr">
        <is>
          <t>Cliente</t>
        </is>
      </c>
      <c r="C3" s="89" t="inlineStr">
        <is>
          <t>Viagem</t>
        </is>
      </c>
      <c r="D3" s="89" t="inlineStr">
        <is>
          <t>Total (€)</t>
        </is>
      </c>
      <c r="E3" s="89" t="inlineStr">
        <is>
          <t>Recebido (€)</t>
        </is>
      </c>
      <c r="F3" s="89" t="inlineStr">
        <is>
          <t>Em falta (€)</t>
        </is>
      </c>
      <c r="G3" s="89" t="inlineStr">
        <is>
          <t>Prestações</t>
        </is>
      </c>
      <c r="H3" s="89" t="inlineStr">
        <is>
          <t>Faltam</t>
        </is>
      </c>
      <c r="I3" s="89" t="inlineStr">
        <is>
          <t>Próx. prestação (€)</t>
        </is>
      </c>
      <c r="J3" s="89" t="inlineStr">
        <is>
          <t>% recebido</t>
        </is>
      </c>
      <c r="K3" s="89" t="inlineStr">
        <is>
          <t>Progresso</t>
        </is>
      </c>
    </row>
    <row r="4" ht="18.75" customHeight="1" s="79">
      <c r="A4" s="103">
        <f>IF('Importar Reservas'!$A3="","",'Importar Reservas'!$A3)</f>
        <v/>
      </c>
      <c r="B4" s="103">
        <f>IF('Importar Reservas'!$A3="","",'Importar Reservas'!$D3)</f>
        <v/>
      </c>
      <c r="C4" s="103">
        <f>IF('Importar Reservas'!$A3="","",'Importar Reservas'!$F3)</f>
        <v/>
      </c>
      <c r="D4" s="105">
        <f>IF('Importar Reservas'!$A3="","",'Importar Reservas'!$O3)</f>
        <v/>
      </c>
      <c r="E4" s="105">
        <f>IF('Importar Reservas'!$A3="","",'Importar Reservas'!$V3)</f>
        <v/>
      </c>
      <c r="F4" s="105">
        <f>IF('Importar Reservas'!$A3="","",'Importar Reservas'!$W3)</f>
        <v/>
      </c>
      <c r="G4" s="103">
        <f>IF('Importar Reservas'!$A3="","",'Importar Reservas'!$T3&amp;" / "&amp;'Importar Reservas'!$S3)</f>
        <v/>
      </c>
      <c r="H4" s="103">
        <f>IF('Importar Reservas'!$A3="","",'Importar Reservas'!$X3)</f>
        <v/>
      </c>
      <c r="I4" s="105">
        <f>IF('Importar Reservas'!$A3="","",IF('Importar Reservas'!$X3&gt;0,'Importar Reservas'!$U3,0))</f>
        <v/>
      </c>
      <c r="J4" s="106">
        <f>IF('Importar Reservas'!$A3="","",'Importar Reservas'!$Y3)</f>
        <v/>
      </c>
      <c r="K4" s="128">
        <f>IF('Importar Reservas'!$A3="","",REPT("█",ROUND(IF('Importar Reservas'!$Y3="",0,'Importar Reservas'!$Y3)*10,0))&amp;REPT("░",10-ROUND(IF('Importar Reservas'!$Y3="",0,'Importar Reservas'!$Y3)*10,0)))</f>
        <v/>
      </c>
    </row>
    <row r="5" ht="18.75" customHeight="1" s="79">
      <c r="A5" s="99">
        <f>IF('Importar Reservas'!$A4="","",'Importar Reservas'!$A4)</f>
        <v/>
      </c>
      <c r="B5" s="99">
        <f>IF('Importar Reservas'!$A4="","",'Importar Reservas'!$D4)</f>
        <v/>
      </c>
      <c r="C5" s="99">
        <f>IF('Importar Reservas'!$A4="","",'Importar Reservas'!$F4)</f>
        <v/>
      </c>
      <c r="D5" s="101">
        <f>IF('Importar Reservas'!$A4="","",'Importar Reservas'!$O4)</f>
        <v/>
      </c>
      <c r="E5" s="101">
        <f>IF('Importar Reservas'!$A4="","",'Importar Reservas'!$V4)</f>
        <v/>
      </c>
      <c r="F5" s="101">
        <f>IF('Importar Reservas'!$A4="","",'Importar Reservas'!$W4)</f>
        <v/>
      </c>
      <c r="G5" s="99">
        <f>IF('Importar Reservas'!$A4="","",'Importar Reservas'!$T4&amp;" / "&amp;'Importar Reservas'!$S4)</f>
        <v/>
      </c>
      <c r="H5" s="99">
        <f>IF('Importar Reservas'!$A4="","",'Importar Reservas'!$X4)</f>
        <v/>
      </c>
      <c r="I5" s="101">
        <f>IF('Importar Reservas'!$A4="","",IF('Importar Reservas'!$X4&gt;0,'Importar Reservas'!$U4,0))</f>
        <v/>
      </c>
      <c r="J5" s="102">
        <f>IF('Importar Reservas'!$A4="","",'Importar Reservas'!$Y4)</f>
        <v/>
      </c>
      <c r="K5" s="129">
        <f>IF('Importar Reservas'!$A4="","",REPT("█",ROUND(IF('Importar Reservas'!$Y4="",0,'Importar Reservas'!$Y4)*10,0))&amp;REPT("░",10-ROUND(IF('Importar Reservas'!$Y4="",0,'Importar Reservas'!$Y4)*10,0)))</f>
        <v/>
      </c>
    </row>
    <row r="6" ht="18.75" customHeight="1" s="79">
      <c r="A6" s="103">
        <f>IF('Importar Reservas'!$A5="","",'Importar Reservas'!$A5)</f>
        <v/>
      </c>
      <c r="B6" s="103">
        <f>IF('Importar Reservas'!$A5="","",'Importar Reservas'!$D5)</f>
        <v/>
      </c>
      <c r="C6" s="103">
        <f>IF('Importar Reservas'!$A5="","",'Importar Reservas'!$F5)</f>
        <v/>
      </c>
      <c r="D6" s="105">
        <f>IF('Importar Reservas'!$A5="","",'Importar Reservas'!$O5)</f>
        <v/>
      </c>
      <c r="E6" s="105">
        <f>IF('Importar Reservas'!$A5="","",'Importar Reservas'!$V5)</f>
        <v/>
      </c>
      <c r="F6" s="105">
        <f>IF('Importar Reservas'!$A5="","",'Importar Reservas'!$W5)</f>
        <v/>
      </c>
      <c r="G6" s="103">
        <f>IF('Importar Reservas'!$A5="","",'Importar Reservas'!$T5&amp;" / "&amp;'Importar Reservas'!$S5)</f>
        <v/>
      </c>
      <c r="H6" s="103">
        <f>IF('Importar Reservas'!$A5="","",'Importar Reservas'!$X5)</f>
        <v/>
      </c>
      <c r="I6" s="105">
        <f>IF('Importar Reservas'!$A5="","",IF('Importar Reservas'!$X5&gt;0,'Importar Reservas'!$U5,0))</f>
        <v/>
      </c>
      <c r="J6" s="106">
        <f>IF('Importar Reservas'!$A5="","",'Importar Reservas'!$Y5)</f>
        <v/>
      </c>
      <c r="K6" s="128">
        <f>IF('Importar Reservas'!$A5="","",REPT("█",ROUND(IF('Importar Reservas'!$Y5="",0,'Importar Reservas'!$Y5)*10,0))&amp;REPT("░",10-ROUND(IF('Importar Reservas'!$Y5="",0,'Importar Reservas'!$Y5)*10,0)))</f>
        <v/>
      </c>
    </row>
    <row r="7" ht="18.75" customHeight="1" s="79">
      <c r="A7" s="99">
        <f>IF('Importar Reservas'!$A6="","",'Importar Reservas'!$A6)</f>
        <v/>
      </c>
      <c r="B7" s="99">
        <f>IF('Importar Reservas'!$A6="","",'Importar Reservas'!$D6)</f>
        <v/>
      </c>
      <c r="C7" s="99">
        <f>IF('Importar Reservas'!$A6="","",'Importar Reservas'!$F6)</f>
        <v/>
      </c>
      <c r="D7" s="101">
        <f>IF('Importar Reservas'!$A6="","",'Importar Reservas'!$O6)</f>
        <v/>
      </c>
      <c r="E7" s="101">
        <f>IF('Importar Reservas'!$A6="","",'Importar Reservas'!$V6)</f>
        <v/>
      </c>
      <c r="F7" s="101">
        <f>IF('Importar Reservas'!$A6="","",'Importar Reservas'!$W6)</f>
        <v/>
      </c>
      <c r="G7" s="99">
        <f>IF('Importar Reservas'!$A6="","",'Importar Reservas'!$T6&amp;" / "&amp;'Importar Reservas'!$S6)</f>
        <v/>
      </c>
      <c r="H7" s="99">
        <f>IF('Importar Reservas'!$A6="","",'Importar Reservas'!$X6)</f>
        <v/>
      </c>
      <c r="I7" s="101">
        <f>IF('Importar Reservas'!$A6="","",IF('Importar Reservas'!$X6&gt;0,'Importar Reservas'!$U6,0))</f>
        <v/>
      </c>
      <c r="J7" s="102">
        <f>IF('Importar Reservas'!$A6="","",'Importar Reservas'!$Y6)</f>
        <v/>
      </c>
      <c r="K7" s="129">
        <f>IF('Importar Reservas'!$A6="","",REPT("█",ROUND(IF('Importar Reservas'!$Y6="",0,'Importar Reservas'!$Y6)*10,0))&amp;REPT("░",10-ROUND(IF('Importar Reservas'!$Y6="",0,'Importar Reservas'!$Y6)*10,0)))</f>
        <v/>
      </c>
    </row>
    <row r="8" ht="18.75" customHeight="1" s="79">
      <c r="A8" s="103">
        <f>IF('Importar Reservas'!$A7="","",'Importar Reservas'!$A7)</f>
        <v/>
      </c>
      <c r="B8" s="103">
        <f>IF('Importar Reservas'!$A7="","",'Importar Reservas'!$D7)</f>
        <v/>
      </c>
      <c r="C8" s="103">
        <f>IF('Importar Reservas'!$A7="","",'Importar Reservas'!$F7)</f>
        <v/>
      </c>
      <c r="D8" s="105">
        <f>IF('Importar Reservas'!$A7="","",'Importar Reservas'!$O7)</f>
        <v/>
      </c>
      <c r="E8" s="105">
        <f>IF('Importar Reservas'!$A7="","",'Importar Reservas'!$V7)</f>
        <v/>
      </c>
      <c r="F8" s="105">
        <f>IF('Importar Reservas'!$A7="","",'Importar Reservas'!$W7)</f>
        <v/>
      </c>
      <c r="G8" s="103">
        <f>IF('Importar Reservas'!$A7="","",'Importar Reservas'!$T7&amp;" / "&amp;'Importar Reservas'!$S7)</f>
        <v/>
      </c>
      <c r="H8" s="103">
        <f>IF('Importar Reservas'!$A7="","",'Importar Reservas'!$X7)</f>
        <v/>
      </c>
      <c r="I8" s="105">
        <f>IF('Importar Reservas'!$A7="","",IF('Importar Reservas'!$X7&gt;0,'Importar Reservas'!$U7,0))</f>
        <v/>
      </c>
      <c r="J8" s="106">
        <f>IF('Importar Reservas'!$A7="","",'Importar Reservas'!$Y7)</f>
        <v/>
      </c>
      <c r="K8" s="128">
        <f>IF('Importar Reservas'!$A7="","",REPT("█",ROUND(IF('Importar Reservas'!$Y7="",0,'Importar Reservas'!$Y7)*10,0))&amp;REPT("░",10-ROUND(IF('Importar Reservas'!$Y7="",0,'Importar Reservas'!$Y7)*10,0)))</f>
        <v/>
      </c>
    </row>
    <row r="9" ht="18.75" customHeight="1" s="79">
      <c r="A9" s="99">
        <f>IF('Importar Reservas'!$A8="","",'Importar Reservas'!$A8)</f>
        <v/>
      </c>
      <c r="B9" s="99">
        <f>IF('Importar Reservas'!$A8="","",'Importar Reservas'!$D8)</f>
        <v/>
      </c>
      <c r="C9" s="99">
        <f>IF('Importar Reservas'!$A8="","",'Importar Reservas'!$F8)</f>
        <v/>
      </c>
      <c r="D9" s="101">
        <f>IF('Importar Reservas'!$A8="","",'Importar Reservas'!$O8)</f>
        <v/>
      </c>
      <c r="E9" s="101">
        <f>IF('Importar Reservas'!$A8="","",'Importar Reservas'!$V8)</f>
        <v/>
      </c>
      <c r="F9" s="101">
        <f>IF('Importar Reservas'!$A8="","",'Importar Reservas'!$W8)</f>
        <v/>
      </c>
      <c r="G9" s="99">
        <f>IF('Importar Reservas'!$A8="","",'Importar Reservas'!$T8&amp;" / "&amp;'Importar Reservas'!$S8)</f>
        <v/>
      </c>
      <c r="H9" s="99">
        <f>IF('Importar Reservas'!$A8="","",'Importar Reservas'!$X8)</f>
        <v/>
      </c>
      <c r="I9" s="101">
        <f>IF('Importar Reservas'!$A8="","",IF('Importar Reservas'!$X8&gt;0,'Importar Reservas'!$U8,0))</f>
        <v/>
      </c>
      <c r="J9" s="102">
        <f>IF('Importar Reservas'!$A8="","",'Importar Reservas'!$Y8)</f>
        <v/>
      </c>
      <c r="K9" s="129">
        <f>IF('Importar Reservas'!$A8="","",REPT("█",ROUND(IF('Importar Reservas'!$Y8="",0,'Importar Reservas'!$Y8)*10,0))&amp;REPT("░",10-ROUND(IF('Importar Reservas'!$Y8="",0,'Importar Reservas'!$Y8)*10,0)))</f>
        <v/>
      </c>
    </row>
    <row r="10" ht="18.75" customHeight="1" s="79">
      <c r="A10" s="103">
        <f>IF('Importar Reservas'!$A9="","",'Importar Reservas'!$A9)</f>
        <v/>
      </c>
      <c r="B10" s="103">
        <f>IF('Importar Reservas'!$A9="","",'Importar Reservas'!$D9)</f>
        <v/>
      </c>
      <c r="C10" s="103">
        <f>IF('Importar Reservas'!$A9="","",'Importar Reservas'!$F9)</f>
        <v/>
      </c>
      <c r="D10" s="105">
        <f>IF('Importar Reservas'!$A9="","",'Importar Reservas'!$O9)</f>
        <v/>
      </c>
      <c r="E10" s="105">
        <f>IF('Importar Reservas'!$A9="","",'Importar Reservas'!$V9)</f>
        <v/>
      </c>
      <c r="F10" s="105">
        <f>IF('Importar Reservas'!$A9="","",'Importar Reservas'!$W9)</f>
        <v/>
      </c>
      <c r="G10" s="103">
        <f>IF('Importar Reservas'!$A9="","",'Importar Reservas'!$T9&amp;" / "&amp;'Importar Reservas'!$S9)</f>
        <v/>
      </c>
      <c r="H10" s="103">
        <f>IF('Importar Reservas'!$A9="","",'Importar Reservas'!$X9)</f>
        <v/>
      </c>
      <c r="I10" s="105">
        <f>IF('Importar Reservas'!$A9="","",IF('Importar Reservas'!$X9&gt;0,'Importar Reservas'!$U9,0))</f>
        <v/>
      </c>
      <c r="J10" s="106">
        <f>IF('Importar Reservas'!$A9="","",'Importar Reservas'!$Y9)</f>
        <v/>
      </c>
      <c r="K10" s="128">
        <f>IF('Importar Reservas'!$A9="","",REPT("█",ROUND(IF('Importar Reservas'!$Y9="",0,'Importar Reservas'!$Y9)*10,0))&amp;REPT("░",10-ROUND(IF('Importar Reservas'!$Y9="",0,'Importar Reservas'!$Y9)*10,0)))</f>
        <v/>
      </c>
    </row>
    <row r="11" ht="18.75" customHeight="1" s="79">
      <c r="A11" s="99">
        <f>IF('Importar Reservas'!$A10="","",'Importar Reservas'!$A10)</f>
        <v/>
      </c>
      <c r="B11" s="99">
        <f>IF('Importar Reservas'!$A10="","",'Importar Reservas'!$D10)</f>
        <v/>
      </c>
      <c r="C11" s="99">
        <f>IF('Importar Reservas'!$A10="","",'Importar Reservas'!$F10)</f>
        <v/>
      </c>
      <c r="D11" s="101">
        <f>IF('Importar Reservas'!$A10="","",'Importar Reservas'!$O10)</f>
        <v/>
      </c>
      <c r="E11" s="101">
        <f>IF('Importar Reservas'!$A10="","",'Importar Reservas'!$V10)</f>
        <v/>
      </c>
      <c r="F11" s="101">
        <f>IF('Importar Reservas'!$A10="","",'Importar Reservas'!$W10)</f>
        <v/>
      </c>
      <c r="G11" s="99">
        <f>IF('Importar Reservas'!$A10="","",'Importar Reservas'!$T10&amp;" / "&amp;'Importar Reservas'!$S10)</f>
        <v/>
      </c>
      <c r="H11" s="99">
        <f>IF('Importar Reservas'!$A10="","",'Importar Reservas'!$X10)</f>
        <v/>
      </c>
      <c r="I11" s="101">
        <f>IF('Importar Reservas'!$A10="","",IF('Importar Reservas'!$X10&gt;0,'Importar Reservas'!$U10,0))</f>
        <v/>
      </c>
      <c r="J11" s="102">
        <f>IF('Importar Reservas'!$A10="","",'Importar Reservas'!$Y10)</f>
        <v/>
      </c>
      <c r="K11" s="129">
        <f>IF('Importar Reservas'!$A10="","",REPT("█",ROUND(IF('Importar Reservas'!$Y10="",0,'Importar Reservas'!$Y10)*10,0))&amp;REPT("░",10-ROUND(IF('Importar Reservas'!$Y10="",0,'Importar Reservas'!$Y10)*10,0)))</f>
        <v/>
      </c>
    </row>
    <row r="12" ht="18.75" customHeight="1" s="79">
      <c r="A12" s="103">
        <f>IF('Importar Reservas'!$A11="","",'Importar Reservas'!$A11)</f>
        <v/>
      </c>
      <c r="B12" s="103">
        <f>IF('Importar Reservas'!$A11="","",'Importar Reservas'!$D11)</f>
        <v/>
      </c>
      <c r="C12" s="103">
        <f>IF('Importar Reservas'!$A11="","",'Importar Reservas'!$F11)</f>
        <v/>
      </c>
      <c r="D12" s="105">
        <f>IF('Importar Reservas'!$A11="","",'Importar Reservas'!$O11)</f>
        <v/>
      </c>
      <c r="E12" s="105">
        <f>IF('Importar Reservas'!$A11="","",'Importar Reservas'!$V11)</f>
        <v/>
      </c>
      <c r="F12" s="105">
        <f>IF('Importar Reservas'!$A11="","",'Importar Reservas'!$W11)</f>
        <v/>
      </c>
      <c r="G12" s="103">
        <f>IF('Importar Reservas'!$A11="","",'Importar Reservas'!$T11&amp;" / "&amp;'Importar Reservas'!$S11)</f>
        <v/>
      </c>
      <c r="H12" s="103">
        <f>IF('Importar Reservas'!$A11="","",'Importar Reservas'!$X11)</f>
        <v/>
      </c>
      <c r="I12" s="105">
        <f>IF('Importar Reservas'!$A11="","",IF('Importar Reservas'!$X11&gt;0,'Importar Reservas'!$U11,0))</f>
        <v/>
      </c>
      <c r="J12" s="106">
        <f>IF('Importar Reservas'!$A11="","",'Importar Reservas'!$Y11)</f>
        <v/>
      </c>
      <c r="K12" s="128">
        <f>IF('Importar Reservas'!$A11="","",REPT("█",ROUND(IF('Importar Reservas'!$Y11="",0,'Importar Reservas'!$Y11)*10,0))&amp;REPT("░",10-ROUND(IF('Importar Reservas'!$Y11="",0,'Importar Reservas'!$Y11)*10,0)))</f>
        <v/>
      </c>
    </row>
    <row r="13" ht="18.75" customHeight="1" s="79">
      <c r="A13" s="99">
        <f>IF('Importar Reservas'!$A12="","",'Importar Reservas'!$A12)</f>
        <v/>
      </c>
      <c r="B13" s="99">
        <f>IF('Importar Reservas'!$A12="","",'Importar Reservas'!$D12)</f>
        <v/>
      </c>
      <c r="C13" s="99">
        <f>IF('Importar Reservas'!$A12="","",'Importar Reservas'!$F12)</f>
        <v/>
      </c>
      <c r="D13" s="101">
        <f>IF('Importar Reservas'!$A12="","",'Importar Reservas'!$O12)</f>
        <v/>
      </c>
      <c r="E13" s="101">
        <f>IF('Importar Reservas'!$A12="","",'Importar Reservas'!$V12)</f>
        <v/>
      </c>
      <c r="F13" s="101">
        <f>IF('Importar Reservas'!$A12="","",'Importar Reservas'!$W12)</f>
        <v/>
      </c>
      <c r="G13" s="99">
        <f>IF('Importar Reservas'!$A12="","",'Importar Reservas'!$T12&amp;" / "&amp;'Importar Reservas'!$S12)</f>
        <v/>
      </c>
      <c r="H13" s="99">
        <f>IF('Importar Reservas'!$A12="","",'Importar Reservas'!$X12)</f>
        <v/>
      </c>
      <c r="I13" s="101">
        <f>IF('Importar Reservas'!$A12="","",IF('Importar Reservas'!$X12&gt;0,'Importar Reservas'!$U12,0))</f>
        <v/>
      </c>
      <c r="J13" s="102">
        <f>IF('Importar Reservas'!$A12="","",'Importar Reservas'!$Y12)</f>
        <v/>
      </c>
      <c r="K13" s="129">
        <f>IF('Importar Reservas'!$A12="","",REPT("█",ROUND(IF('Importar Reservas'!$Y12="",0,'Importar Reservas'!$Y12)*10,0))&amp;REPT("░",10-ROUND(IF('Importar Reservas'!$Y12="",0,'Importar Reservas'!$Y12)*10,0)))</f>
        <v/>
      </c>
    </row>
    <row r="14" ht="18.75" customHeight="1" s="79">
      <c r="A14" s="103">
        <f>IF('Importar Reservas'!$A13="","",'Importar Reservas'!$A13)</f>
        <v/>
      </c>
      <c r="B14" s="103">
        <f>IF('Importar Reservas'!$A13="","",'Importar Reservas'!$D13)</f>
        <v/>
      </c>
      <c r="C14" s="103">
        <f>IF('Importar Reservas'!$A13="","",'Importar Reservas'!$F13)</f>
        <v/>
      </c>
      <c r="D14" s="105">
        <f>IF('Importar Reservas'!$A13="","",'Importar Reservas'!$O13)</f>
        <v/>
      </c>
      <c r="E14" s="105">
        <f>IF('Importar Reservas'!$A13="","",'Importar Reservas'!$V13)</f>
        <v/>
      </c>
      <c r="F14" s="105">
        <f>IF('Importar Reservas'!$A13="","",'Importar Reservas'!$W13)</f>
        <v/>
      </c>
      <c r="G14" s="103">
        <f>IF('Importar Reservas'!$A13="","",'Importar Reservas'!$T13&amp;" / "&amp;'Importar Reservas'!$S13)</f>
        <v/>
      </c>
      <c r="H14" s="103">
        <f>IF('Importar Reservas'!$A13="","",'Importar Reservas'!$X13)</f>
        <v/>
      </c>
      <c r="I14" s="105">
        <f>IF('Importar Reservas'!$A13="","",IF('Importar Reservas'!$X13&gt;0,'Importar Reservas'!$U13,0))</f>
        <v/>
      </c>
      <c r="J14" s="106">
        <f>IF('Importar Reservas'!$A13="","",'Importar Reservas'!$Y13)</f>
        <v/>
      </c>
      <c r="K14" s="128">
        <f>IF('Importar Reservas'!$A13="","",REPT("█",ROUND(IF('Importar Reservas'!$Y13="",0,'Importar Reservas'!$Y13)*10,0))&amp;REPT("░",10-ROUND(IF('Importar Reservas'!$Y13="",0,'Importar Reservas'!$Y13)*10,0)))</f>
        <v/>
      </c>
    </row>
    <row r="15" ht="18.75" customHeight="1" s="79">
      <c r="A15" s="99">
        <f>IF('Importar Reservas'!$A14="","",'Importar Reservas'!$A14)</f>
        <v/>
      </c>
      <c r="B15" s="99">
        <f>IF('Importar Reservas'!$A14="","",'Importar Reservas'!$D14)</f>
        <v/>
      </c>
      <c r="C15" s="99">
        <f>IF('Importar Reservas'!$A14="","",'Importar Reservas'!$F14)</f>
        <v/>
      </c>
      <c r="D15" s="101">
        <f>IF('Importar Reservas'!$A14="","",'Importar Reservas'!$O14)</f>
        <v/>
      </c>
      <c r="E15" s="101">
        <f>IF('Importar Reservas'!$A14="","",'Importar Reservas'!$V14)</f>
        <v/>
      </c>
      <c r="F15" s="101">
        <f>IF('Importar Reservas'!$A14="","",'Importar Reservas'!$W14)</f>
        <v/>
      </c>
      <c r="G15" s="99">
        <f>IF('Importar Reservas'!$A14="","",'Importar Reservas'!$T14&amp;" / "&amp;'Importar Reservas'!$S14)</f>
        <v/>
      </c>
      <c r="H15" s="99">
        <f>IF('Importar Reservas'!$A14="","",'Importar Reservas'!$X14)</f>
        <v/>
      </c>
      <c r="I15" s="101">
        <f>IF('Importar Reservas'!$A14="","",IF('Importar Reservas'!$X14&gt;0,'Importar Reservas'!$U14,0))</f>
        <v/>
      </c>
      <c r="J15" s="102">
        <f>IF('Importar Reservas'!$A14="","",'Importar Reservas'!$Y14)</f>
        <v/>
      </c>
      <c r="K15" s="129">
        <f>IF('Importar Reservas'!$A14="","",REPT("█",ROUND(IF('Importar Reservas'!$Y14="",0,'Importar Reservas'!$Y14)*10,0))&amp;REPT("░",10-ROUND(IF('Importar Reservas'!$Y14="",0,'Importar Reservas'!$Y14)*10,0)))</f>
        <v/>
      </c>
    </row>
    <row r="16" ht="18.75" customHeight="1" s="79">
      <c r="A16" s="103">
        <f>IF('Importar Reservas'!$A15="","",'Importar Reservas'!$A15)</f>
        <v/>
      </c>
      <c r="B16" s="103">
        <f>IF('Importar Reservas'!$A15="","",'Importar Reservas'!$D15)</f>
        <v/>
      </c>
      <c r="C16" s="103">
        <f>IF('Importar Reservas'!$A15="","",'Importar Reservas'!$F15)</f>
        <v/>
      </c>
      <c r="D16" s="105">
        <f>IF('Importar Reservas'!$A15="","",'Importar Reservas'!$O15)</f>
        <v/>
      </c>
      <c r="E16" s="105">
        <f>IF('Importar Reservas'!$A15="","",'Importar Reservas'!$V15)</f>
        <v/>
      </c>
      <c r="F16" s="105">
        <f>IF('Importar Reservas'!$A15="","",'Importar Reservas'!$W15)</f>
        <v/>
      </c>
      <c r="G16" s="103">
        <f>IF('Importar Reservas'!$A15="","",'Importar Reservas'!$T15&amp;" / "&amp;'Importar Reservas'!$S15)</f>
        <v/>
      </c>
      <c r="H16" s="103">
        <f>IF('Importar Reservas'!$A15="","",'Importar Reservas'!$X15)</f>
        <v/>
      </c>
      <c r="I16" s="105">
        <f>IF('Importar Reservas'!$A15="","",IF('Importar Reservas'!$X15&gt;0,'Importar Reservas'!$U15,0))</f>
        <v/>
      </c>
      <c r="J16" s="106">
        <f>IF('Importar Reservas'!$A15="","",'Importar Reservas'!$Y15)</f>
        <v/>
      </c>
      <c r="K16" s="128">
        <f>IF('Importar Reservas'!$A15="","",REPT("█",ROUND(IF('Importar Reservas'!$Y15="",0,'Importar Reservas'!$Y15)*10,0))&amp;REPT("░",10-ROUND(IF('Importar Reservas'!$Y15="",0,'Importar Reservas'!$Y15)*10,0)))</f>
        <v/>
      </c>
    </row>
    <row r="17" ht="18.75" customHeight="1" s="79">
      <c r="A17" s="99">
        <f>IF('Importar Reservas'!$A16="","",'Importar Reservas'!$A16)</f>
        <v/>
      </c>
      <c r="B17" s="99">
        <f>IF('Importar Reservas'!$A16="","",'Importar Reservas'!$D16)</f>
        <v/>
      </c>
      <c r="C17" s="99">
        <f>IF('Importar Reservas'!$A16="","",'Importar Reservas'!$F16)</f>
        <v/>
      </c>
      <c r="D17" s="101">
        <f>IF('Importar Reservas'!$A16="","",'Importar Reservas'!$O16)</f>
        <v/>
      </c>
      <c r="E17" s="101">
        <f>IF('Importar Reservas'!$A16="","",'Importar Reservas'!$V16)</f>
        <v/>
      </c>
      <c r="F17" s="101">
        <f>IF('Importar Reservas'!$A16="","",'Importar Reservas'!$W16)</f>
        <v/>
      </c>
      <c r="G17" s="99">
        <f>IF('Importar Reservas'!$A16="","",'Importar Reservas'!$T16&amp;" / "&amp;'Importar Reservas'!$S16)</f>
        <v/>
      </c>
      <c r="H17" s="99">
        <f>IF('Importar Reservas'!$A16="","",'Importar Reservas'!$X16)</f>
        <v/>
      </c>
      <c r="I17" s="101">
        <f>IF('Importar Reservas'!$A16="","",IF('Importar Reservas'!$X16&gt;0,'Importar Reservas'!$U16,0))</f>
        <v/>
      </c>
      <c r="J17" s="102">
        <f>IF('Importar Reservas'!$A16="","",'Importar Reservas'!$Y16)</f>
        <v/>
      </c>
      <c r="K17" s="129">
        <f>IF('Importar Reservas'!$A16="","",REPT("█",ROUND(IF('Importar Reservas'!$Y16="",0,'Importar Reservas'!$Y16)*10,0))&amp;REPT("░",10-ROUND(IF('Importar Reservas'!$Y16="",0,'Importar Reservas'!$Y16)*10,0)))</f>
        <v/>
      </c>
    </row>
    <row r="18" ht="18.75" customHeight="1" s="79">
      <c r="A18" s="103">
        <f>IF('Importar Reservas'!$A17="","",'Importar Reservas'!$A17)</f>
        <v/>
      </c>
      <c r="B18" s="103">
        <f>IF('Importar Reservas'!$A17="","",'Importar Reservas'!$D17)</f>
        <v/>
      </c>
      <c r="C18" s="103">
        <f>IF('Importar Reservas'!$A17="","",'Importar Reservas'!$F17)</f>
        <v/>
      </c>
      <c r="D18" s="105">
        <f>IF('Importar Reservas'!$A17="","",'Importar Reservas'!$O17)</f>
        <v/>
      </c>
      <c r="E18" s="105">
        <f>IF('Importar Reservas'!$A17="","",'Importar Reservas'!$V17)</f>
        <v/>
      </c>
      <c r="F18" s="105">
        <f>IF('Importar Reservas'!$A17="","",'Importar Reservas'!$W17)</f>
        <v/>
      </c>
      <c r="G18" s="103">
        <f>IF('Importar Reservas'!$A17="","",'Importar Reservas'!$T17&amp;" / "&amp;'Importar Reservas'!$S17)</f>
        <v/>
      </c>
      <c r="H18" s="103">
        <f>IF('Importar Reservas'!$A17="","",'Importar Reservas'!$X17)</f>
        <v/>
      </c>
      <c r="I18" s="105">
        <f>IF('Importar Reservas'!$A17="","",IF('Importar Reservas'!$X17&gt;0,'Importar Reservas'!$U17,0))</f>
        <v/>
      </c>
      <c r="J18" s="106">
        <f>IF('Importar Reservas'!$A17="","",'Importar Reservas'!$Y17)</f>
        <v/>
      </c>
      <c r="K18" s="128">
        <f>IF('Importar Reservas'!$A17="","",REPT("█",ROUND(IF('Importar Reservas'!$Y17="",0,'Importar Reservas'!$Y17)*10,0))&amp;REPT("░",10-ROUND(IF('Importar Reservas'!$Y17="",0,'Importar Reservas'!$Y17)*10,0)))</f>
        <v/>
      </c>
    </row>
    <row r="19" ht="18.75" customHeight="1" s="79">
      <c r="A19" s="99">
        <f>IF('Importar Reservas'!$A18="","",'Importar Reservas'!$A18)</f>
        <v/>
      </c>
      <c r="B19" s="99">
        <f>IF('Importar Reservas'!$A18="","",'Importar Reservas'!$D18)</f>
        <v/>
      </c>
      <c r="C19" s="99">
        <f>IF('Importar Reservas'!$A18="","",'Importar Reservas'!$F18)</f>
        <v/>
      </c>
      <c r="D19" s="101">
        <f>IF('Importar Reservas'!$A18="","",'Importar Reservas'!$O18)</f>
        <v/>
      </c>
      <c r="E19" s="101">
        <f>IF('Importar Reservas'!$A18="","",'Importar Reservas'!$V18)</f>
        <v/>
      </c>
      <c r="F19" s="101">
        <f>IF('Importar Reservas'!$A18="","",'Importar Reservas'!$W18)</f>
        <v/>
      </c>
      <c r="G19" s="99">
        <f>IF('Importar Reservas'!$A18="","",'Importar Reservas'!$T18&amp;" / "&amp;'Importar Reservas'!$S18)</f>
        <v/>
      </c>
      <c r="H19" s="99">
        <f>IF('Importar Reservas'!$A18="","",'Importar Reservas'!$X18)</f>
        <v/>
      </c>
      <c r="I19" s="101">
        <f>IF('Importar Reservas'!$A18="","",IF('Importar Reservas'!$X18&gt;0,'Importar Reservas'!$U18,0))</f>
        <v/>
      </c>
      <c r="J19" s="102">
        <f>IF('Importar Reservas'!$A18="","",'Importar Reservas'!$Y18)</f>
        <v/>
      </c>
      <c r="K19" s="129">
        <f>IF('Importar Reservas'!$A18="","",REPT("█",ROUND(IF('Importar Reservas'!$Y18="",0,'Importar Reservas'!$Y18)*10,0))&amp;REPT("░",10-ROUND(IF('Importar Reservas'!$Y18="",0,'Importar Reservas'!$Y18)*10,0)))</f>
        <v/>
      </c>
    </row>
    <row r="20" ht="18.75" customHeight="1" s="79">
      <c r="A20" s="103">
        <f>IF('Importar Reservas'!$A19="","",'Importar Reservas'!$A19)</f>
        <v/>
      </c>
      <c r="B20" s="103">
        <f>IF('Importar Reservas'!$A19="","",'Importar Reservas'!$D19)</f>
        <v/>
      </c>
      <c r="C20" s="103">
        <f>IF('Importar Reservas'!$A19="","",'Importar Reservas'!$F19)</f>
        <v/>
      </c>
      <c r="D20" s="105">
        <f>IF('Importar Reservas'!$A19="","",'Importar Reservas'!$O19)</f>
        <v/>
      </c>
      <c r="E20" s="105">
        <f>IF('Importar Reservas'!$A19="","",'Importar Reservas'!$V19)</f>
        <v/>
      </c>
      <c r="F20" s="105">
        <f>IF('Importar Reservas'!$A19="","",'Importar Reservas'!$W19)</f>
        <v/>
      </c>
      <c r="G20" s="103">
        <f>IF('Importar Reservas'!$A19="","",'Importar Reservas'!$T19&amp;" / "&amp;'Importar Reservas'!$S19)</f>
        <v/>
      </c>
      <c r="H20" s="103">
        <f>IF('Importar Reservas'!$A19="","",'Importar Reservas'!$X19)</f>
        <v/>
      </c>
      <c r="I20" s="105">
        <f>IF('Importar Reservas'!$A19="","",IF('Importar Reservas'!$X19&gt;0,'Importar Reservas'!$U19,0))</f>
        <v/>
      </c>
      <c r="J20" s="106">
        <f>IF('Importar Reservas'!$A19="","",'Importar Reservas'!$Y19)</f>
        <v/>
      </c>
      <c r="K20" s="128">
        <f>IF('Importar Reservas'!$A19="","",REPT("█",ROUND(IF('Importar Reservas'!$Y19="",0,'Importar Reservas'!$Y19)*10,0))&amp;REPT("░",10-ROUND(IF('Importar Reservas'!$Y19="",0,'Importar Reservas'!$Y19)*10,0)))</f>
        <v/>
      </c>
    </row>
    <row r="21" ht="18.75" customHeight="1" s="79">
      <c r="A21" s="99">
        <f>IF('Importar Reservas'!$A20="","",'Importar Reservas'!$A20)</f>
        <v/>
      </c>
      <c r="B21" s="99">
        <f>IF('Importar Reservas'!$A20="","",'Importar Reservas'!$D20)</f>
        <v/>
      </c>
      <c r="C21" s="99">
        <f>IF('Importar Reservas'!$A20="","",'Importar Reservas'!$F20)</f>
        <v/>
      </c>
      <c r="D21" s="101">
        <f>IF('Importar Reservas'!$A20="","",'Importar Reservas'!$O20)</f>
        <v/>
      </c>
      <c r="E21" s="101">
        <f>IF('Importar Reservas'!$A20="","",'Importar Reservas'!$V20)</f>
        <v/>
      </c>
      <c r="F21" s="101">
        <f>IF('Importar Reservas'!$A20="","",'Importar Reservas'!$W20)</f>
        <v/>
      </c>
      <c r="G21" s="99">
        <f>IF('Importar Reservas'!$A20="","",'Importar Reservas'!$T20&amp;" / "&amp;'Importar Reservas'!$S20)</f>
        <v/>
      </c>
      <c r="H21" s="99">
        <f>IF('Importar Reservas'!$A20="","",'Importar Reservas'!$X20)</f>
        <v/>
      </c>
      <c r="I21" s="101">
        <f>IF('Importar Reservas'!$A20="","",IF('Importar Reservas'!$X20&gt;0,'Importar Reservas'!$U20,0))</f>
        <v/>
      </c>
      <c r="J21" s="102">
        <f>IF('Importar Reservas'!$A20="","",'Importar Reservas'!$Y20)</f>
        <v/>
      </c>
      <c r="K21" s="129">
        <f>IF('Importar Reservas'!$A20="","",REPT("█",ROUND(IF('Importar Reservas'!$Y20="",0,'Importar Reservas'!$Y20)*10,0))&amp;REPT("░",10-ROUND(IF('Importar Reservas'!$Y20="",0,'Importar Reservas'!$Y20)*10,0)))</f>
        <v/>
      </c>
    </row>
    <row r="22" ht="18.75" customHeight="1" s="79">
      <c r="A22" s="103">
        <f>IF('Importar Reservas'!$A21="","",'Importar Reservas'!$A21)</f>
        <v/>
      </c>
      <c r="B22" s="103">
        <f>IF('Importar Reservas'!$A21="","",'Importar Reservas'!$D21)</f>
        <v/>
      </c>
      <c r="C22" s="103">
        <f>IF('Importar Reservas'!$A21="","",'Importar Reservas'!$F21)</f>
        <v/>
      </c>
      <c r="D22" s="105">
        <f>IF('Importar Reservas'!$A21="","",'Importar Reservas'!$O21)</f>
        <v/>
      </c>
      <c r="E22" s="105">
        <f>IF('Importar Reservas'!$A21="","",'Importar Reservas'!$V21)</f>
        <v/>
      </c>
      <c r="F22" s="105">
        <f>IF('Importar Reservas'!$A21="","",'Importar Reservas'!$W21)</f>
        <v/>
      </c>
      <c r="G22" s="103">
        <f>IF('Importar Reservas'!$A21="","",'Importar Reservas'!$T21&amp;" / "&amp;'Importar Reservas'!$S21)</f>
        <v/>
      </c>
      <c r="H22" s="103">
        <f>IF('Importar Reservas'!$A21="","",'Importar Reservas'!$X21)</f>
        <v/>
      </c>
      <c r="I22" s="105">
        <f>IF('Importar Reservas'!$A21="","",IF('Importar Reservas'!$X21&gt;0,'Importar Reservas'!$U21,0))</f>
        <v/>
      </c>
      <c r="J22" s="106">
        <f>IF('Importar Reservas'!$A21="","",'Importar Reservas'!$Y21)</f>
        <v/>
      </c>
      <c r="K22" s="128">
        <f>IF('Importar Reservas'!$A21="","",REPT("█",ROUND(IF('Importar Reservas'!$Y21="",0,'Importar Reservas'!$Y21)*10,0))&amp;REPT("░",10-ROUND(IF('Importar Reservas'!$Y21="",0,'Importar Reservas'!$Y21)*10,0)))</f>
        <v/>
      </c>
    </row>
    <row r="23" ht="18.75" customHeight="1" s="79">
      <c r="A23" s="99">
        <f>IF('Importar Reservas'!$A22="","",'Importar Reservas'!$A22)</f>
        <v/>
      </c>
      <c r="B23" s="99">
        <f>IF('Importar Reservas'!$A22="","",'Importar Reservas'!$D22)</f>
        <v/>
      </c>
      <c r="C23" s="99">
        <f>IF('Importar Reservas'!$A22="","",'Importar Reservas'!$F22)</f>
        <v/>
      </c>
      <c r="D23" s="101">
        <f>IF('Importar Reservas'!$A22="","",'Importar Reservas'!$O22)</f>
        <v/>
      </c>
      <c r="E23" s="101">
        <f>IF('Importar Reservas'!$A22="","",'Importar Reservas'!$V22)</f>
        <v/>
      </c>
      <c r="F23" s="101">
        <f>IF('Importar Reservas'!$A22="","",'Importar Reservas'!$W22)</f>
        <v/>
      </c>
      <c r="G23" s="99">
        <f>IF('Importar Reservas'!$A22="","",'Importar Reservas'!$T22&amp;" / "&amp;'Importar Reservas'!$S22)</f>
        <v/>
      </c>
      <c r="H23" s="99">
        <f>IF('Importar Reservas'!$A22="","",'Importar Reservas'!$X22)</f>
        <v/>
      </c>
      <c r="I23" s="101">
        <f>IF('Importar Reservas'!$A22="","",IF('Importar Reservas'!$X22&gt;0,'Importar Reservas'!$U22,0))</f>
        <v/>
      </c>
      <c r="J23" s="102">
        <f>IF('Importar Reservas'!$A22="","",'Importar Reservas'!$Y22)</f>
        <v/>
      </c>
      <c r="K23" s="129">
        <f>IF('Importar Reservas'!$A22="","",REPT("█",ROUND(IF('Importar Reservas'!$Y22="",0,'Importar Reservas'!$Y22)*10,0))&amp;REPT("░",10-ROUND(IF('Importar Reservas'!$Y22="",0,'Importar Reservas'!$Y22)*10,0)))</f>
        <v/>
      </c>
    </row>
    <row r="24" ht="18.75" customHeight="1" s="79">
      <c r="A24" s="103">
        <f>IF('Importar Reservas'!$A23="","",'Importar Reservas'!$A23)</f>
        <v/>
      </c>
      <c r="B24" s="103">
        <f>IF('Importar Reservas'!$A23="","",'Importar Reservas'!$D23)</f>
        <v/>
      </c>
      <c r="C24" s="103">
        <f>IF('Importar Reservas'!$A23="","",'Importar Reservas'!$F23)</f>
        <v/>
      </c>
      <c r="D24" s="105">
        <f>IF('Importar Reservas'!$A23="","",'Importar Reservas'!$O23)</f>
        <v/>
      </c>
      <c r="E24" s="105">
        <f>IF('Importar Reservas'!$A23="","",'Importar Reservas'!$V23)</f>
        <v/>
      </c>
      <c r="F24" s="105">
        <f>IF('Importar Reservas'!$A23="","",'Importar Reservas'!$W23)</f>
        <v/>
      </c>
      <c r="G24" s="103">
        <f>IF('Importar Reservas'!$A23="","",'Importar Reservas'!$T23&amp;" / "&amp;'Importar Reservas'!$S23)</f>
        <v/>
      </c>
      <c r="H24" s="103">
        <f>IF('Importar Reservas'!$A23="","",'Importar Reservas'!$X23)</f>
        <v/>
      </c>
      <c r="I24" s="105">
        <f>IF('Importar Reservas'!$A23="","",IF('Importar Reservas'!$X23&gt;0,'Importar Reservas'!$U23,0))</f>
        <v/>
      </c>
      <c r="J24" s="106">
        <f>IF('Importar Reservas'!$A23="","",'Importar Reservas'!$Y23)</f>
        <v/>
      </c>
      <c r="K24" s="128">
        <f>IF('Importar Reservas'!$A23="","",REPT("█",ROUND(IF('Importar Reservas'!$Y23="",0,'Importar Reservas'!$Y23)*10,0))&amp;REPT("░",10-ROUND(IF('Importar Reservas'!$Y23="",0,'Importar Reservas'!$Y23)*10,0)))</f>
        <v/>
      </c>
    </row>
    <row r="25" ht="18.75" customHeight="1" s="79">
      <c r="A25" s="99">
        <f>IF('Importar Reservas'!$A24="","",'Importar Reservas'!$A24)</f>
        <v/>
      </c>
      <c r="B25" s="99">
        <f>IF('Importar Reservas'!$A24="","",'Importar Reservas'!$D24)</f>
        <v/>
      </c>
      <c r="C25" s="99">
        <f>IF('Importar Reservas'!$A24="","",'Importar Reservas'!$F24)</f>
        <v/>
      </c>
      <c r="D25" s="101">
        <f>IF('Importar Reservas'!$A24="","",'Importar Reservas'!$O24)</f>
        <v/>
      </c>
      <c r="E25" s="101">
        <f>IF('Importar Reservas'!$A24="","",'Importar Reservas'!$V24)</f>
        <v/>
      </c>
      <c r="F25" s="101">
        <f>IF('Importar Reservas'!$A24="","",'Importar Reservas'!$W24)</f>
        <v/>
      </c>
      <c r="G25" s="99">
        <f>IF('Importar Reservas'!$A24="","",'Importar Reservas'!$T24&amp;" / "&amp;'Importar Reservas'!$S24)</f>
        <v/>
      </c>
      <c r="H25" s="99">
        <f>IF('Importar Reservas'!$A24="","",'Importar Reservas'!$X24)</f>
        <v/>
      </c>
      <c r="I25" s="101">
        <f>IF('Importar Reservas'!$A24="","",IF('Importar Reservas'!$X24&gt;0,'Importar Reservas'!$U24,0))</f>
        <v/>
      </c>
      <c r="J25" s="102">
        <f>IF('Importar Reservas'!$A24="","",'Importar Reservas'!$Y24)</f>
        <v/>
      </c>
      <c r="K25" s="129">
        <f>IF('Importar Reservas'!$A24="","",REPT("█",ROUND(IF('Importar Reservas'!$Y24="",0,'Importar Reservas'!$Y24)*10,0))&amp;REPT("░",10-ROUND(IF('Importar Reservas'!$Y24="",0,'Importar Reservas'!$Y24)*10,0)))</f>
        <v/>
      </c>
    </row>
    <row r="26" ht="18.75" customHeight="1" s="79">
      <c r="A26" s="103">
        <f>IF('Importar Reservas'!$A25="","",'Importar Reservas'!$A25)</f>
        <v/>
      </c>
      <c r="B26" s="103">
        <f>IF('Importar Reservas'!$A25="","",'Importar Reservas'!$D25)</f>
        <v/>
      </c>
      <c r="C26" s="103">
        <f>IF('Importar Reservas'!$A25="","",'Importar Reservas'!$F25)</f>
        <v/>
      </c>
      <c r="D26" s="105">
        <f>IF('Importar Reservas'!$A25="","",'Importar Reservas'!$O25)</f>
        <v/>
      </c>
      <c r="E26" s="105">
        <f>IF('Importar Reservas'!$A25="","",'Importar Reservas'!$V25)</f>
        <v/>
      </c>
      <c r="F26" s="105">
        <f>IF('Importar Reservas'!$A25="","",'Importar Reservas'!$W25)</f>
        <v/>
      </c>
      <c r="G26" s="103">
        <f>IF('Importar Reservas'!$A25="","",'Importar Reservas'!$T25&amp;" / "&amp;'Importar Reservas'!$S25)</f>
        <v/>
      </c>
      <c r="H26" s="103">
        <f>IF('Importar Reservas'!$A25="","",'Importar Reservas'!$X25)</f>
        <v/>
      </c>
      <c r="I26" s="105">
        <f>IF('Importar Reservas'!$A25="","",IF('Importar Reservas'!$X25&gt;0,'Importar Reservas'!$U25,0))</f>
        <v/>
      </c>
      <c r="J26" s="106">
        <f>IF('Importar Reservas'!$A25="","",'Importar Reservas'!$Y25)</f>
        <v/>
      </c>
      <c r="K26" s="128">
        <f>IF('Importar Reservas'!$A25="","",REPT("█",ROUND(IF('Importar Reservas'!$Y25="",0,'Importar Reservas'!$Y25)*10,0))&amp;REPT("░",10-ROUND(IF('Importar Reservas'!$Y25="",0,'Importar Reservas'!$Y25)*10,0)))</f>
        <v/>
      </c>
    </row>
    <row r="27" ht="18.75" customHeight="1" s="79">
      <c r="A27" s="99">
        <f>IF('Importar Reservas'!$A26="","",'Importar Reservas'!$A26)</f>
        <v/>
      </c>
      <c r="B27" s="99">
        <f>IF('Importar Reservas'!$A26="","",'Importar Reservas'!$D26)</f>
        <v/>
      </c>
      <c r="C27" s="99">
        <f>IF('Importar Reservas'!$A26="","",'Importar Reservas'!$F26)</f>
        <v/>
      </c>
      <c r="D27" s="101">
        <f>IF('Importar Reservas'!$A26="","",'Importar Reservas'!$O26)</f>
        <v/>
      </c>
      <c r="E27" s="101">
        <f>IF('Importar Reservas'!$A26="","",'Importar Reservas'!$V26)</f>
        <v/>
      </c>
      <c r="F27" s="101">
        <f>IF('Importar Reservas'!$A26="","",'Importar Reservas'!$W26)</f>
        <v/>
      </c>
      <c r="G27" s="99">
        <f>IF('Importar Reservas'!$A26="","",'Importar Reservas'!$T26&amp;" / "&amp;'Importar Reservas'!$S26)</f>
        <v/>
      </c>
      <c r="H27" s="99">
        <f>IF('Importar Reservas'!$A26="","",'Importar Reservas'!$X26)</f>
        <v/>
      </c>
      <c r="I27" s="101">
        <f>IF('Importar Reservas'!$A26="","",IF('Importar Reservas'!$X26&gt;0,'Importar Reservas'!$U26,0))</f>
        <v/>
      </c>
      <c r="J27" s="102">
        <f>IF('Importar Reservas'!$A26="","",'Importar Reservas'!$Y26)</f>
        <v/>
      </c>
      <c r="K27" s="129">
        <f>IF('Importar Reservas'!$A26="","",REPT("█",ROUND(IF('Importar Reservas'!$Y26="",0,'Importar Reservas'!$Y26)*10,0))&amp;REPT("░",10-ROUND(IF('Importar Reservas'!$Y26="",0,'Importar Reservas'!$Y26)*10,0)))</f>
        <v/>
      </c>
    </row>
    <row r="28" ht="18.75" customHeight="1" s="79">
      <c r="A28" s="103">
        <f>IF('Importar Reservas'!$A27="","",'Importar Reservas'!$A27)</f>
        <v/>
      </c>
      <c r="B28" s="103">
        <f>IF('Importar Reservas'!$A27="","",'Importar Reservas'!$D27)</f>
        <v/>
      </c>
      <c r="C28" s="103">
        <f>IF('Importar Reservas'!$A27="","",'Importar Reservas'!$F27)</f>
        <v/>
      </c>
      <c r="D28" s="105">
        <f>IF('Importar Reservas'!$A27="","",'Importar Reservas'!$O27)</f>
        <v/>
      </c>
      <c r="E28" s="105">
        <f>IF('Importar Reservas'!$A27="","",'Importar Reservas'!$V27)</f>
        <v/>
      </c>
      <c r="F28" s="105">
        <f>IF('Importar Reservas'!$A27="","",'Importar Reservas'!$W27)</f>
        <v/>
      </c>
      <c r="G28" s="103">
        <f>IF('Importar Reservas'!$A27="","",'Importar Reservas'!$T27&amp;" / "&amp;'Importar Reservas'!$S27)</f>
        <v/>
      </c>
      <c r="H28" s="103">
        <f>IF('Importar Reservas'!$A27="","",'Importar Reservas'!$X27)</f>
        <v/>
      </c>
      <c r="I28" s="105">
        <f>IF('Importar Reservas'!$A27="","",IF('Importar Reservas'!$X27&gt;0,'Importar Reservas'!$U27,0))</f>
        <v/>
      </c>
      <c r="J28" s="106">
        <f>IF('Importar Reservas'!$A27="","",'Importar Reservas'!$Y27)</f>
        <v/>
      </c>
      <c r="K28" s="128">
        <f>IF('Importar Reservas'!$A27="","",REPT("█",ROUND(IF('Importar Reservas'!$Y27="",0,'Importar Reservas'!$Y27)*10,0))&amp;REPT("░",10-ROUND(IF('Importar Reservas'!$Y27="",0,'Importar Reservas'!$Y27)*10,0)))</f>
        <v/>
      </c>
    </row>
    <row r="29" ht="18.75" customHeight="1" s="79">
      <c r="A29" s="99">
        <f>IF('Importar Reservas'!$A28="","",'Importar Reservas'!$A28)</f>
        <v/>
      </c>
      <c r="B29" s="99">
        <f>IF('Importar Reservas'!$A28="","",'Importar Reservas'!$D28)</f>
        <v/>
      </c>
      <c r="C29" s="99">
        <f>IF('Importar Reservas'!$A28="","",'Importar Reservas'!$F28)</f>
        <v/>
      </c>
      <c r="D29" s="101">
        <f>IF('Importar Reservas'!$A28="","",'Importar Reservas'!$O28)</f>
        <v/>
      </c>
      <c r="E29" s="101">
        <f>IF('Importar Reservas'!$A28="","",'Importar Reservas'!$V28)</f>
        <v/>
      </c>
      <c r="F29" s="101">
        <f>IF('Importar Reservas'!$A28="","",'Importar Reservas'!$W28)</f>
        <v/>
      </c>
      <c r="G29" s="99">
        <f>IF('Importar Reservas'!$A28="","",'Importar Reservas'!$T28&amp;" / "&amp;'Importar Reservas'!$S28)</f>
        <v/>
      </c>
      <c r="H29" s="99">
        <f>IF('Importar Reservas'!$A28="","",'Importar Reservas'!$X28)</f>
        <v/>
      </c>
      <c r="I29" s="101">
        <f>IF('Importar Reservas'!$A28="","",IF('Importar Reservas'!$X28&gt;0,'Importar Reservas'!$U28,0))</f>
        <v/>
      </c>
      <c r="J29" s="102">
        <f>IF('Importar Reservas'!$A28="","",'Importar Reservas'!$Y28)</f>
        <v/>
      </c>
      <c r="K29" s="129">
        <f>IF('Importar Reservas'!$A28="","",REPT("█",ROUND(IF('Importar Reservas'!$Y28="",0,'Importar Reservas'!$Y28)*10,0))&amp;REPT("░",10-ROUND(IF('Importar Reservas'!$Y28="",0,'Importar Reservas'!$Y28)*10,0)))</f>
        <v/>
      </c>
    </row>
    <row r="30" ht="18.75" customHeight="1" s="79">
      <c r="A30" s="103">
        <f>IF('Importar Reservas'!$A29="","",'Importar Reservas'!$A29)</f>
        <v/>
      </c>
      <c r="B30" s="103">
        <f>IF('Importar Reservas'!$A29="","",'Importar Reservas'!$D29)</f>
        <v/>
      </c>
      <c r="C30" s="103">
        <f>IF('Importar Reservas'!$A29="","",'Importar Reservas'!$F29)</f>
        <v/>
      </c>
      <c r="D30" s="105">
        <f>IF('Importar Reservas'!$A29="","",'Importar Reservas'!$O29)</f>
        <v/>
      </c>
      <c r="E30" s="105">
        <f>IF('Importar Reservas'!$A29="","",'Importar Reservas'!$V29)</f>
        <v/>
      </c>
      <c r="F30" s="105">
        <f>IF('Importar Reservas'!$A29="","",'Importar Reservas'!$W29)</f>
        <v/>
      </c>
      <c r="G30" s="103">
        <f>IF('Importar Reservas'!$A29="","",'Importar Reservas'!$T29&amp;" / "&amp;'Importar Reservas'!$S29)</f>
        <v/>
      </c>
      <c r="H30" s="103">
        <f>IF('Importar Reservas'!$A29="","",'Importar Reservas'!$X29)</f>
        <v/>
      </c>
      <c r="I30" s="105">
        <f>IF('Importar Reservas'!$A29="","",IF('Importar Reservas'!$X29&gt;0,'Importar Reservas'!$U29,0))</f>
        <v/>
      </c>
      <c r="J30" s="106">
        <f>IF('Importar Reservas'!$A29="","",'Importar Reservas'!$Y29)</f>
        <v/>
      </c>
      <c r="K30" s="128">
        <f>IF('Importar Reservas'!$A29="","",REPT("█",ROUND(IF('Importar Reservas'!$Y29="",0,'Importar Reservas'!$Y29)*10,0))&amp;REPT("░",10-ROUND(IF('Importar Reservas'!$Y29="",0,'Importar Reservas'!$Y29)*10,0)))</f>
        <v/>
      </c>
    </row>
    <row r="31" ht="18.75" customHeight="1" s="79">
      <c r="A31" s="99">
        <f>IF('Importar Reservas'!$A30="","",'Importar Reservas'!$A30)</f>
        <v/>
      </c>
      <c r="B31" s="99">
        <f>IF('Importar Reservas'!$A30="","",'Importar Reservas'!$D30)</f>
        <v/>
      </c>
      <c r="C31" s="99">
        <f>IF('Importar Reservas'!$A30="","",'Importar Reservas'!$F30)</f>
        <v/>
      </c>
      <c r="D31" s="101">
        <f>IF('Importar Reservas'!$A30="","",'Importar Reservas'!$O30)</f>
        <v/>
      </c>
      <c r="E31" s="101">
        <f>IF('Importar Reservas'!$A30="","",'Importar Reservas'!$V30)</f>
        <v/>
      </c>
      <c r="F31" s="101">
        <f>IF('Importar Reservas'!$A30="","",'Importar Reservas'!$W30)</f>
        <v/>
      </c>
      <c r="G31" s="99">
        <f>IF('Importar Reservas'!$A30="","",'Importar Reservas'!$T30&amp;" / "&amp;'Importar Reservas'!$S30)</f>
        <v/>
      </c>
      <c r="H31" s="99">
        <f>IF('Importar Reservas'!$A30="","",'Importar Reservas'!$X30)</f>
        <v/>
      </c>
      <c r="I31" s="101">
        <f>IF('Importar Reservas'!$A30="","",IF('Importar Reservas'!$X30&gt;0,'Importar Reservas'!$U30,0))</f>
        <v/>
      </c>
      <c r="J31" s="102">
        <f>IF('Importar Reservas'!$A30="","",'Importar Reservas'!$Y30)</f>
        <v/>
      </c>
      <c r="K31" s="129">
        <f>IF('Importar Reservas'!$A30="","",REPT("█",ROUND(IF('Importar Reservas'!$Y30="",0,'Importar Reservas'!$Y30)*10,0))&amp;REPT("░",10-ROUND(IF('Importar Reservas'!$Y30="",0,'Importar Reservas'!$Y30)*10,0)))</f>
        <v/>
      </c>
    </row>
    <row r="32" ht="18.75" customHeight="1" s="79">
      <c r="A32" s="103">
        <f>IF('Importar Reservas'!$A31="","",'Importar Reservas'!$A31)</f>
        <v/>
      </c>
      <c r="B32" s="103">
        <f>IF('Importar Reservas'!$A31="","",'Importar Reservas'!$D31)</f>
        <v/>
      </c>
      <c r="C32" s="103">
        <f>IF('Importar Reservas'!$A31="","",'Importar Reservas'!$F31)</f>
        <v/>
      </c>
      <c r="D32" s="105">
        <f>IF('Importar Reservas'!$A31="","",'Importar Reservas'!$O31)</f>
        <v/>
      </c>
      <c r="E32" s="105">
        <f>IF('Importar Reservas'!$A31="","",'Importar Reservas'!$V31)</f>
        <v/>
      </c>
      <c r="F32" s="105">
        <f>IF('Importar Reservas'!$A31="","",'Importar Reservas'!$W31)</f>
        <v/>
      </c>
      <c r="G32" s="103">
        <f>IF('Importar Reservas'!$A31="","",'Importar Reservas'!$T31&amp;" / "&amp;'Importar Reservas'!$S31)</f>
        <v/>
      </c>
      <c r="H32" s="103">
        <f>IF('Importar Reservas'!$A31="","",'Importar Reservas'!$X31)</f>
        <v/>
      </c>
      <c r="I32" s="105">
        <f>IF('Importar Reservas'!$A31="","",IF('Importar Reservas'!$X31&gt;0,'Importar Reservas'!$U31,0))</f>
        <v/>
      </c>
      <c r="J32" s="106">
        <f>IF('Importar Reservas'!$A31="","",'Importar Reservas'!$Y31)</f>
        <v/>
      </c>
      <c r="K32" s="128">
        <f>IF('Importar Reservas'!$A31="","",REPT("█",ROUND(IF('Importar Reservas'!$Y31="",0,'Importar Reservas'!$Y31)*10,0))&amp;REPT("░",10-ROUND(IF('Importar Reservas'!$Y31="",0,'Importar Reservas'!$Y31)*10,0)))</f>
        <v/>
      </c>
    </row>
    <row r="33" ht="18.75" customHeight="1" s="79">
      <c r="A33" s="99">
        <f>IF('Importar Reservas'!$A32="","",'Importar Reservas'!$A32)</f>
        <v/>
      </c>
      <c r="B33" s="99">
        <f>IF('Importar Reservas'!$A32="","",'Importar Reservas'!$D32)</f>
        <v/>
      </c>
      <c r="C33" s="99">
        <f>IF('Importar Reservas'!$A32="","",'Importar Reservas'!$F32)</f>
        <v/>
      </c>
      <c r="D33" s="101">
        <f>IF('Importar Reservas'!$A32="","",'Importar Reservas'!$O32)</f>
        <v/>
      </c>
      <c r="E33" s="101">
        <f>IF('Importar Reservas'!$A32="","",'Importar Reservas'!$V32)</f>
        <v/>
      </c>
      <c r="F33" s="101">
        <f>IF('Importar Reservas'!$A32="","",'Importar Reservas'!$W32)</f>
        <v/>
      </c>
      <c r="G33" s="99">
        <f>IF('Importar Reservas'!$A32="","",'Importar Reservas'!$T32&amp;" / "&amp;'Importar Reservas'!$S32)</f>
        <v/>
      </c>
      <c r="H33" s="99">
        <f>IF('Importar Reservas'!$A32="","",'Importar Reservas'!$X32)</f>
        <v/>
      </c>
      <c r="I33" s="101">
        <f>IF('Importar Reservas'!$A32="","",IF('Importar Reservas'!$X32&gt;0,'Importar Reservas'!$U32,0))</f>
        <v/>
      </c>
      <c r="J33" s="102">
        <f>IF('Importar Reservas'!$A32="","",'Importar Reservas'!$Y32)</f>
        <v/>
      </c>
      <c r="K33" s="129">
        <f>IF('Importar Reservas'!$A32="","",REPT("█",ROUND(IF('Importar Reservas'!$Y32="",0,'Importar Reservas'!$Y32)*10,0))&amp;REPT("░",10-ROUND(IF('Importar Reservas'!$Y32="",0,'Importar Reservas'!$Y32)*10,0)))</f>
        <v/>
      </c>
    </row>
    <row r="34" ht="18.75" customHeight="1" s="79">
      <c r="A34" s="103">
        <f>IF('Importar Reservas'!$A33="","",'Importar Reservas'!$A33)</f>
        <v/>
      </c>
      <c r="B34" s="103">
        <f>IF('Importar Reservas'!$A33="","",'Importar Reservas'!$D33)</f>
        <v/>
      </c>
      <c r="C34" s="103">
        <f>IF('Importar Reservas'!$A33="","",'Importar Reservas'!$F33)</f>
        <v/>
      </c>
      <c r="D34" s="105">
        <f>IF('Importar Reservas'!$A33="","",'Importar Reservas'!$O33)</f>
        <v/>
      </c>
      <c r="E34" s="105">
        <f>IF('Importar Reservas'!$A33="","",'Importar Reservas'!$V33)</f>
        <v/>
      </c>
      <c r="F34" s="105">
        <f>IF('Importar Reservas'!$A33="","",'Importar Reservas'!$W33)</f>
        <v/>
      </c>
      <c r="G34" s="103">
        <f>IF('Importar Reservas'!$A33="","",'Importar Reservas'!$T33&amp;" / "&amp;'Importar Reservas'!$S33)</f>
        <v/>
      </c>
      <c r="H34" s="103">
        <f>IF('Importar Reservas'!$A33="","",'Importar Reservas'!$X33)</f>
        <v/>
      </c>
      <c r="I34" s="105">
        <f>IF('Importar Reservas'!$A33="","",IF('Importar Reservas'!$X33&gt;0,'Importar Reservas'!$U33,0))</f>
        <v/>
      </c>
      <c r="J34" s="106">
        <f>IF('Importar Reservas'!$A33="","",'Importar Reservas'!$Y33)</f>
        <v/>
      </c>
      <c r="K34" s="128">
        <f>IF('Importar Reservas'!$A33="","",REPT("█",ROUND(IF('Importar Reservas'!$Y33="",0,'Importar Reservas'!$Y33)*10,0))&amp;REPT("░",10-ROUND(IF('Importar Reservas'!$Y33="",0,'Importar Reservas'!$Y33)*10,0)))</f>
        <v/>
      </c>
    </row>
    <row r="35" ht="18.75" customHeight="1" s="79">
      <c r="A35" s="99">
        <f>IF('Importar Reservas'!$A34="","",'Importar Reservas'!$A34)</f>
        <v/>
      </c>
      <c r="B35" s="99">
        <f>IF('Importar Reservas'!$A34="","",'Importar Reservas'!$D34)</f>
        <v/>
      </c>
      <c r="C35" s="99">
        <f>IF('Importar Reservas'!$A34="","",'Importar Reservas'!$F34)</f>
        <v/>
      </c>
      <c r="D35" s="101">
        <f>IF('Importar Reservas'!$A34="","",'Importar Reservas'!$O34)</f>
        <v/>
      </c>
      <c r="E35" s="101">
        <f>IF('Importar Reservas'!$A34="","",'Importar Reservas'!$V34)</f>
        <v/>
      </c>
      <c r="F35" s="101">
        <f>IF('Importar Reservas'!$A34="","",'Importar Reservas'!$W34)</f>
        <v/>
      </c>
      <c r="G35" s="99">
        <f>IF('Importar Reservas'!$A34="","",'Importar Reservas'!$T34&amp;" / "&amp;'Importar Reservas'!$S34)</f>
        <v/>
      </c>
      <c r="H35" s="99">
        <f>IF('Importar Reservas'!$A34="","",'Importar Reservas'!$X34)</f>
        <v/>
      </c>
      <c r="I35" s="101">
        <f>IF('Importar Reservas'!$A34="","",IF('Importar Reservas'!$X34&gt;0,'Importar Reservas'!$U34,0))</f>
        <v/>
      </c>
      <c r="J35" s="102">
        <f>IF('Importar Reservas'!$A34="","",'Importar Reservas'!$Y34)</f>
        <v/>
      </c>
      <c r="K35" s="129">
        <f>IF('Importar Reservas'!$A34="","",REPT("█",ROUND(IF('Importar Reservas'!$Y34="",0,'Importar Reservas'!$Y34)*10,0))&amp;REPT("░",10-ROUND(IF('Importar Reservas'!$Y34="",0,'Importar Reservas'!$Y34)*10,0)))</f>
        <v/>
      </c>
    </row>
    <row r="36" ht="18.75" customHeight="1" s="79">
      <c r="A36" s="103">
        <f>IF('Importar Reservas'!$A35="","",'Importar Reservas'!$A35)</f>
        <v/>
      </c>
      <c r="B36" s="103">
        <f>IF('Importar Reservas'!$A35="","",'Importar Reservas'!$D35)</f>
        <v/>
      </c>
      <c r="C36" s="103">
        <f>IF('Importar Reservas'!$A35="","",'Importar Reservas'!$F35)</f>
        <v/>
      </c>
      <c r="D36" s="105">
        <f>IF('Importar Reservas'!$A35="","",'Importar Reservas'!$O35)</f>
        <v/>
      </c>
      <c r="E36" s="105">
        <f>IF('Importar Reservas'!$A35="","",'Importar Reservas'!$V35)</f>
        <v/>
      </c>
      <c r="F36" s="105">
        <f>IF('Importar Reservas'!$A35="","",'Importar Reservas'!$W35)</f>
        <v/>
      </c>
      <c r="G36" s="103">
        <f>IF('Importar Reservas'!$A35="","",'Importar Reservas'!$T35&amp;" / "&amp;'Importar Reservas'!$S35)</f>
        <v/>
      </c>
      <c r="H36" s="103">
        <f>IF('Importar Reservas'!$A35="","",'Importar Reservas'!$X35)</f>
        <v/>
      </c>
      <c r="I36" s="105">
        <f>IF('Importar Reservas'!$A35="","",IF('Importar Reservas'!$X35&gt;0,'Importar Reservas'!$U35,0))</f>
        <v/>
      </c>
      <c r="J36" s="106">
        <f>IF('Importar Reservas'!$A35="","",'Importar Reservas'!$Y35)</f>
        <v/>
      </c>
      <c r="K36" s="128">
        <f>IF('Importar Reservas'!$A35="","",REPT("█",ROUND(IF('Importar Reservas'!$Y35="",0,'Importar Reservas'!$Y35)*10,0))&amp;REPT("░",10-ROUND(IF('Importar Reservas'!$Y35="",0,'Importar Reservas'!$Y35)*10,0)))</f>
        <v/>
      </c>
    </row>
    <row r="37" ht="18.75" customHeight="1" s="79">
      <c r="A37" s="99">
        <f>IF('Importar Reservas'!$A36="","",'Importar Reservas'!$A36)</f>
        <v/>
      </c>
      <c r="B37" s="99">
        <f>IF('Importar Reservas'!$A36="","",'Importar Reservas'!$D36)</f>
        <v/>
      </c>
      <c r="C37" s="99">
        <f>IF('Importar Reservas'!$A36="","",'Importar Reservas'!$F36)</f>
        <v/>
      </c>
      <c r="D37" s="101">
        <f>IF('Importar Reservas'!$A36="","",'Importar Reservas'!$O36)</f>
        <v/>
      </c>
      <c r="E37" s="101">
        <f>IF('Importar Reservas'!$A36="","",'Importar Reservas'!$V36)</f>
        <v/>
      </c>
      <c r="F37" s="101">
        <f>IF('Importar Reservas'!$A36="","",'Importar Reservas'!$W36)</f>
        <v/>
      </c>
      <c r="G37" s="99">
        <f>IF('Importar Reservas'!$A36="","",'Importar Reservas'!$T36&amp;" / "&amp;'Importar Reservas'!$S36)</f>
        <v/>
      </c>
      <c r="H37" s="99">
        <f>IF('Importar Reservas'!$A36="","",'Importar Reservas'!$X36)</f>
        <v/>
      </c>
      <c r="I37" s="101">
        <f>IF('Importar Reservas'!$A36="","",IF('Importar Reservas'!$X36&gt;0,'Importar Reservas'!$U36,0))</f>
        <v/>
      </c>
      <c r="J37" s="102">
        <f>IF('Importar Reservas'!$A36="","",'Importar Reservas'!$Y36)</f>
        <v/>
      </c>
      <c r="K37" s="129">
        <f>IF('Importar Reservas'!$A36="","",REPT("█",ROUND(IF('Importar Reservas'!$Y36="",0,'Importar Reservas'!$Y36)*10,0))&amp;REPT("░",10-ROUND(IF('Importar Reservas'!$Y36="",0,'Importar Reservas'!$Y36)*10,0)))</f>
        <v/>
      </c>
    </row>
    <row r="38" ht="18.75" customHeight="1" s="79">
      <c r="A38" s="103">
        <f>IF('Importar Reservas'!$A37="","",'Importar Reservas'!$A37)</f>
        <v/>
      </c>
      <c r="B38" s="103">
        <f>IF('Importar Reservas'!$A37="","",'Importar Reservas'!$D37)</f>
        <v/>
      </c>
      <c r="C38" s="103">
        <f>IF('Importar Reservas'!$A37="","",'Importar Reservas'!$F37)</f>
        <v/>
      </c>
      <c r="D38" s="105">
        <f>IF('Importar Reservas'!$A37="","",'Importar Reservas'!$O37)</f>
        <v/>
      </c>
      <c r="E38" s="105">
        <f>IF('Importar Reservas'!$A37="","",'Importar Reservas'!$V37)</f>
        <v/>
      </c>
      <c r="F38" s="105">
        <f>IF('Importar Reservas'!$A37="","",'Importar Reservas'!$W37)</f>
        <v/>
      </c>
      <c r="G38" s="103">
        <f>IF('Importar Reservas'!$A37="","",'Importar Reservas'!$T37&amp;" / "&amp;'Importar Reservas'!$S37)</f>
        <v/>
      </c>
      <c r="H38" s="103">
        <f>IF('Importar Reservas'!$A37="","",'Importar Reservas'!$X37)</f>
        <v/>
      </c>
      <c r="I38" s="105">
        <f>IF('Importar Reservas'!$A37="","",IF('Importar Reservas'!$X37&gt;0,'Importar Reservas'!$U37,0))</f>
        <v/>
      </c>
      <c r="J38" s="106">
        <f>IF('Importar Reservas'!$A37="","",'Importar Reservas'!$Y37)</f>
        <v/>
      </c>
      <c r="K38" s="128">
        <f>IF('Importar Reservas'!$A37="","",REPT("█",ROUND(IF('Importar Reservas'!$Y37="",0,'Importar Reservas'!$Y37)*10,0))&amp;REPT("░",10-ROUND(IF('Importar Reservas'!$Y37="",0,'Importar Reservas'!$Y37)*10,0)))</f>
        <v/>
      </c>
    </row>
    <row r="39" ht="18.75" customHeight="1" s="79">
      <c r="A39" s="99">
        <f>IF('Importar Reservas'!$A38="","",'Importar Reservas'!$A38)</f>
        <v/>
      </c>
      <c r="B39" s="99">
        <f>IF('Importar Reservas'!$A38="","",'Importar Reservas'!$D38)</f>
        <v/>
      </c>
      <c r="C39" s="99">
        <f>IF('Importar Reservas'!$A38="","",'Importar Reservas'!$F38)</f>
        <v/>
      </c>
      <c r="D39" s="101">
        <f>IF('Importar Reservas'!$A38="","",'Importar Reservas'!$O38)</f>
        <v/>
      </c>
      <c r="E39" s="101">
        <f>IF('Importar Reservas'!$A38="","",'Importar Reservas'!$V38)</f>
        <v/>
      </c>
      <c r="F39" s="101">
        <f>IF('Importar Reservas'!$A38="","",'Importar Reservas'!$W38)</f>
        <v/>
      </c>
      <c r="G39" s="99">
        <f>IF('Importar Reservas'!$A38="","",'Importar Reservas'!$T38&amp;" / "&amp;'Importar Reservas'!$S38)</f>
        <v/>
      </c>
      <c r="H39" s="99">
        <f>IF('Importar Reservas'!$A38="","",'Importar Reservas'!$X38)</f>
        <v/>
      </c>
      <c r="I39" s="101">
        <f>IF('Importar Reservas'!$A38="","",IF('Importar Reservas'!$X38&gt;0,'Importar Reservas'!$U38,0))</f>
        <v/>
      </c>
      <c r="J39" s="102">
        <f>IF('Importar Reservas'!$A38="","",'Importar Reservas'!$Y38)</f>
        <v/>
      </c>
      <c r="K39" s="129">
        <f>IF('Importar Reservas'!$A38="","",REPT("█",ROUND(IF('Importar Reservas'!$Y38="",0,'Importar Reservas'!$Y38)*10,0))&amp;REPT("░",10-ROUND(IF('Importar Reservas'!$Y38="",0,'Importar Reservas'!$Y38)*10,0)))</f>
        <v/>
      </c>
    </row>
    <row r="40" ht="18.75" customHeight="1" s="79">
      <c r="A40" s="103">
        <f>IF('Importar Reservas'!$A39="","",'Importar Reservas'!$A39)</f>
        <v/>
      </c>
      <c r="B40" s="103">
        <f>IF('Importar Reservas'!$A39="","",'Importar Reservas'!$D39)</f>
        <v/>
      </c>
      <c r="C40" s="103">
        <f>IF('Importar Reservas'!$A39="","",'Importar Reservas'!$F39)</f>
        <v/>
      </c>
      <c r="D40" s="105">
        <f>IF('Importar Reservas'!$A39="","",'Importar Reservas'!$O39)</f>
        <v/>
      </c>
      <c r="E40" s="105">
        <f>IF('Importar Reservas'!$A39="","",'Importar Reservas'!$V39)</f>
        <v/>
      </c>
      <c r="F40" s="105">
        <f>IF('Importar Reservas'!$A39="","",'Importar Reservas'!$W39)</f>
        <v/>
      </c>
      <c r="G40" s="103">
        <f>IF('Importar Reservas'!$A39="","",'Importar Reservas'!$T39&amp;" / "&amp;'Importar Reservas'!$S39)</f>
        <v/>
      </c>
      <c r="H40" s="103">
        <f>IF('Importar Reservas'!$A39="","",'Importar Reservas'!$X39)</f>
        <v/>
      </c>
      <c r="I40" s="105">
        <f>IF('Importar Reservas'!$A39="","",IF('Importar Reservas'!$X39&gt;0,'Importar Reservas'!$U39,0))</f>
        <v/>
      </c>
      <c r="J40" s="106">
        <f>IF('Importar Reservas'!$A39="","",'Importar Reservas'!$Y39)</f>
        <v/>
      </c>
      <c r="K40" s="128">
        <f>IF('Importar Reservas'!$A39="","",REPT("█",ROUND(IF('Importar Reservas'!$Y39="",0,'Importar Reservas'!$Y39)*10,0))&amp;REPT("░",10-ROUND(IF('Importar Reservas'!$Y39="",0,'Importar Reservas'!$Y39)*10,0)))</f>
        <v/>
      </c>
    </row>
    <row r="41" ht="18.75" customHeight="1" s="79">
      <c r="A41" s="99">
        <f>IF('Importar Reservas'!$A40="","",'Importar Reservas'!$A40)</f>
        <v/>
      </c>
      <c r="B41" s="99">
        <f>IF('Importar Reservas'!$A40="","",'Importar Reservas'!$D40)</f>
        <v/>
      </c>
      <c r="C41" s="99">
        <f>IF('Importar Reservas'!$A40="","",'Importar Reservas'!$F40)</f>
        <v/>
      </c>
      <c r="D41" s="101">
        <f>IF('Importar Reservas'!$A40="","",'Importar Reservas'!$O40)</f>
        <v/>
      </c>
      <c r="E41" s="101">
        <f>IF('Importar Reservas'!$A40="","",'Importar Reservas'!$V40)</f>
        <v/>
      </c>
      <c r="F41" s="101">
        <f>IF('Importar Reservas'!$A40="","",'Importar Reservas'!$W40)</f>
        <v/>
      </c>
      <c r="G41" s="99">
        <f>IF('Importar Reservas'!$A40="","",'Importar Reservas'!$T40&amp;" / "&amp;'Importar Reservas'!$S40)</f>
        <v/>
      </c>
      <c r="H41" s="99">
        <f>IF('Importar Reservas'!$A40="","",'Importar Reservas'!$X40)</f>
        <v/>
      </c>
      <c r="I41" s="101">
        <f>IF('Importar Reservas'!$A40="","",IF('Importar Reservas'!$X40&gt;0,'Importar Reservas'!$U40,0))</f>
        <v/>
      </c>
      <c r="J41" s="102">
        <f>IF('Importar Reservas'!$A40="","",'Importar Reservas'!$Y40)</f>
        <v/>
      </c>
      <c r="K41" s="129">
        <f>IF('Importar Reservas'!$A40="","",REPT("█",ROUND(IF('Importar Reservas'!$Y40="",0,'Importar Reservas'!$Y40)*10,0))&amp;REPT("░",10-ROUND(IF('Importar Reservas'!$Y40="",0,'Importar Reservas'!$Y40)*10,0)))</f>
        <v/>
      </c>
    </row>
    <row r="42" ht="18.75" customHeight="1" s="79">
      <c r="A42" s="103">
        <f>IF('Importar Reservas'!$A41="","",'Importar Reservas'!$A41)</f>
        <v/>
      </c>
      <c r="B42" s="103">
        <f>IF('Importar Reservas'!$A41="","",'Importar Reservas'!$D41)</f>
        <v/>
      </c>
      <c r="C42" s="103">
        <f>IF('Importar Reservas'!$A41="","",'Importar Reservas'!$F41)</f>
        <v/>
      </c>
      <c r="D42" s="105">
        <f>IF('Importar Reservas'!$A41="","",'Importar Reservas'!$O41)</f>
        <v/>
      </c>
      <c r="E42" s="105">
        <f>IF('Importar Reservas'!$A41="","",'Importar Reservas'!$V41)</f>
        <v/>
      </c>
      <c r="F42" s="105">
        <f>IF('Importar Reservas'!$A41="","",'Importar Reservas'!$W41)</f>
        <v/>
      </c>
      <c r="G42" s="103">
        <f>IF('Importar Reservas'!$A41="","",'Importar Reservas'!$T41&amp;" / "&amp;'Importar Reservas'!$S41)</f>
        <v/>
      </c>
      <c r="H42" s="103">
        <f>IF('Importar Reservas'!$A41="","",'Importar Reservas'!$X41)</f>
        <v/>
      </c>
      <c r="I42" s="105">
        <f>IF('Importar Reservas'!$A41="","",IF('Importar Reservas'!$X41&gt;0,'Importar Reservas'!$U41,0))</f>
        <v/>
      </c>
      <c r="J42" s="106">
        <f>IF('Importar Reservas'!$A41="","",'Importar Reservas'!$Y41)</f>
        <v/>
      </c>
      <c r="K42" s="128">
        <f>IF('Importar Reservas'!$A41="","",REPT("█",ROUND(IF('Importar Reservas'!$Y41="",0,'Importar Reservas'!$Y41)*10,0))&amp;REPT("░",10-ROUND(IF('Importar Reservas'!$Y41="",0,'Importar Reservas'!$Y41)*10,0)))</f>
        <v/>
      </c>
    </row>
    <row r="43" ht="18.75" customHeight="1" s="79">
      <c r="A43" s="99">
        <f>IF('Importar Reservas'!$A42="","",'Importar Reservas'!$A42)</f>
        <v/>
      </c>
      <c r="B43" s="99">
        <f>IF('Importar Reservas'!$A42="","",'Importar Reservas'!$D42)</f>
        <v/>
      </c>
      <c r="C43" s="99">
        <f>IF('Importar Reservas'!$A42="","",'Importar Reservas'!$F42)</f>
        <v/>
      </c>
      <c r="D43" s="101">
        <f>IF('Importar Reservas'!$A42="","",'Importar Reservas'!$O42)</f>
        <v/>
      </c>
      <c r="E43" s="101">
        <f>IF('Importar Reservas'!$A42="","",'Importar Reservas'!$V42)</f>
        <v/>
      </c>
      <c r="F43" s="101">
        <f>IF('Importar Reservas'!$A42="","",'Importar Reservas'!$W42)</f>
        <v/>
      </c>
      <c r="G43" s="99">
        <f>IF('Importar Reservas'!$A42="","",'Importar Reservas'!$T42&amp;" / "&amp;'Importar Reservas'!$S42)</f>
        <v/>
      </c>
      <c r="H43" s="99">
        <f>IF('Importar Reservas'!$A42="","",'Importar Reservas'!$X42)</f>
        <v/>
      </c>
      <c r="I43" s="101">
        <f>IF('Importar Reservas'!$A42="","",IF('Importar Reservas'!$X42&gt;0,'Importar Reservas'!$U42,0))</f>
        <v/>
      </c>
      <c r="J43" s="102">
        <f>IF('Importar Reservas'!$A42="","",'Importar Reservas'!$Y42)</f>
        <v/>
      </c>
      <c r="K43" s="129">
        <f>IF('Importar Reservas'!$A42="","",REPT("█",ROUND(IF('Importar Reservas'!$Y42="",0,'Importar Reservas'!$Y42)*10,0))&amp;REPT("░",10-ROUND(IF('Importar Reservas'!$Y42="",0,'Importar Reservas'!$Y42)*10,0)))</f>
        <v/>
      </c>
    </row>
    <row r="46" ht="15" customHeight="1" s="79">
      <c r="B46" s="114" t="inlineStr">
        <is>
          <t>Já recebido</t>
        </is>
      </c>
      <c r="C46" s="130">
        <f>SUM(E4:E43)</f>
        <v/>
      </c>
    </row>
    <row r="47" ht="15" customHeight="1" s="79">
      <c r="B47" s="114" t="inlineStr">
        <is>
          <t>A receber</t>
        </is>
      </c>
      <c r="C47" s="131">
        <f>SUM(F4:F43)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1E7BA0"/>
    <outlinePr summaryBelow="1" summaryRight="1"/>
    <pageSetUpPr fitToPage="0"/>
  </sheetPr>
  <dimension ref="A1:N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8" min="1" max="1"/>
    <col width="14" customWidth="1" style="78" min="2" max="14"/>
  </cols>
  <sheetData>
    <row r="1" ht="18.55" customHeight="1" s="79">
      <c r="A1" s="85" t="inlineStr">
        <is>
          <t>📈 Rendimentos e lucros (P&amp;L) — ano selecionado</t>
        </is>
      </c>
    </row>
    <row r="2" ht="15" customHeight="1" s="79">
      <c r="A2" s="86" t="inlineStr">
        <is>
          <t>Competência pela data de registo. O ano é definido em Configurações!B16.</t>
        </is>
      </c>
    </row>
    <row r="4" ht="30" customHeight="1" s="79">
      <c r="A4" s="132" t="inlineStr">
        <is>
          <t>Rubrica</t>
        </is>
      </c>
      <c r="B4" s="132" t="inlineStr">
        <is>
          <t>jan</t>
        </is>
      </c>
      <c r="C4" s="132" t="inlineStr">
        <is>
          <t>fev</t>
        </is>
      </c>
      <c r="D4" s="132" t="inlineStr">
        <is>
          <t>mar</t>
        </is>
      </c>
      <c r="E4" s="132" t="inlineStr">
        <is>
          <t>abr</t>
        </is>
      </c>
      <c r="F4" s="97" t="inlineStr">
        <is>
          <t>mai</t>
        </is>
      </c>
      <c r="G4" s="97" t="inlineStr">
        <is>
          <t>jun</t>
        </is>
      </c>
      <c r="H4" s="97" t="inlineStr">
        <is>
          <t>jul</t>
        </is>
      </c>
      <c r="I4" s="97" t="inlineStr">
        <is>
          <t>ago</t>
        </is>
      </c>
      <c r="J4" s="97" t="inlineStr">
        <is>
          <t>set</t>
        </is>
      </c>
      <c r="K4" s="97" t="inlineStr">
        <is>
          <t>out</t>
        </is>
      </c>
      <c r="L4" s="97" t="inlineStr">
        <is>
          <t>nov</t>
        </is>
      </c>
      <c r="M4" s="97" t="inlineStr">
        <is>
          <t>dez</t>
        </is>
      </c>
      <c r="N4" s="97" t="inlineStr">
        <is>
          <t>Total</t>
        </is>
      </c>
    </row>
    <row r="5" ht="15" customHeight="1" s="79">
      <c r="A5" s="91" t="inlineStr">
        <is>
          <t>Receita (venda)</t>
        </is>
      </c>
      <c r="B5" s="133">
        <f>SUMIFS('Importar Reservas'!$O:$O,'Importar Reservas'!$B:$B,"&gt;="&amp;DATE(Configurações!$B$16,1,1),'Importar Reservas'!$B:$B,"&lt;"&amp;EDATE(DATE(Configurações!$B$16,1,1),1))</f>
        <v/>
      </c>
      <c r="C5" s="133">
        <f>SUMIFS('Importar Reservas'!$O:$O,'Importar Reservas'!$B:$B,"&gt;="&amp;DATE(Configurações!$B$16,2,1),'Importar Reservas'!$B:$B,"&lt;"&amp;EDATE(DATE(Configurações!$B$16,2,1),1))</f>
        <v/>
      </c>
      <c r="D5" s="133">
        <f>SUMIFS('Importar Reservas'!$O:$O,'Importar Reservas'!$B:$B,"&gt;="&amp;DATE(Configurações!$B$16,3,1),'Importar Reservas'!$B:$B,"&lt;"&amp;EDATE(DATE(Configurações!$B$16,3,1),1))</f>
        <v/>
      </c>
      <c r="E5" s="134">
        <f>SUMIFS('Importar Reservas'!$O:$O,'Importar Reservas'!$B:$B,"&gt;="&amp;DATE(Configurações!$B$16,4,1),'Importar Reservas'!$B:$B,"&lt;"&amp;EDATE(DATE(Configurações!$B$16,4,1),1))</f>
        <v/>
      </c>
      <c r="F5" s="135">
        <f>SUMIFS('Importar Reservas'!$O:$O,'Importar Reservas'!$B:$B,"&gt;="&amp;DATE(Configurações!$B$16,5,1),'Importar Reservas'!$B:$B,"&lt;"&amp;EDATE(DATE(Configurações!$B$16,5,1),1))</f>
        <v/>
      </c>
      <c r="G5" s="135">
        <f>SUMIFS('Importar Reservas'!$O:$O,'Importar Reservas'!$B:$B,"&gt;="&amp;DATE(Configurações!$B$16,6,1),'Importar Reservas'!$B:$B,"&lt;"&amp;EDATE(DATE(Configurações!$B$16,6,1),1))</f>
        <v/>
      </c>
      <c r="H5" s="135">
        <f>SUMIFS('Importar Reservas'!$O:$O,'Importar Reservas'!$B:$B,"&gt;="&amp;DATE(Configurações!$B$16,7,1),'Importar Reservas'!$B:$B,"&lt;"&amp;EDATE(DATE(Configurações!$B$16,7,1),1))</f>
        <v/>
      </c>
      <c r="I5" s="135">
        <f>SUMIFS('Importar Reservas'!$O:$O,'Importar Reservas'!$B:$B,"&gt;="&amp;DATE(Configurações!$B$16,8,1),'Importar Reservas'!$B:$B,"&lt;"&amp;EDATE(DATE(Configurações!$B$16,8,1),1))</f>
        <v/>
      </c>
      <c r="J5" s="135">
        <f>SUMIFS('Importar Reservas'!$O:$O,'Importar Reservas'!$B:$B,"&gt;="&amp;DATE(Configurações!$B$16,9,1),'Importar Reservas'!$B:$B,"&lt;"&amp;EDATE(DATE(Configurações!$B$16,9,1),1))</f>
        <v/>
      </c>
      <c r="K5" s="135">
        <f>SUMIFS('Importar Reservas'!$O:$O,'Importar Reservas'!$B:$B,"&gt;="&amp;DATE(Configurações!$B$16,10,1),'Importar Reservas'!$B:$B,"&lt;"&amp;EDATE(DATE(Configurações!$B$16,10,1),1))</f>
        <v/>
      </c>
      <c r="L5" s="135">
        <f>SUMIFS('Importar Reservas'!$O:$O,'Importar Reservas'!$B:$B,"&gt;="&amp;DATE(Configurações!$B$16,11,1),'Importar Reservas'!$B:$B,"&lt;"&amp;EDATE(DATE(Configurações!$B$16,11,1),1))</f>
        <v/>
      </c>
      <c r="M5" s="135">
        <f>SUMIFS('Importar Reservas'!$O:$O,'Importar Reservas'!$B:$B,"&gt;="&amp;DATE(Configurações!$B$16,12,1),'Importar Reservas'!$B:$B,"&lt;"&amp;EDATE(DATE(Configurações!$B$16,12,1),1))</f>
        <v/>
      </c>
      <c r="N5" s="135">
        <f>SUM(B5:M5)</f>
        <v/>
      </c>
    </row>
    <row r="6" ht="15" customHeight="1" s="79">
      <c r="A6" s="91" t="inlineStr">
        <is>
          <t>Custo dos fornecedores</t>
        </is>
      </c>
      <c r="B6" s="133">
        <f>SUMIFS('Importar Reservas'!$N:$N,'Importar Reservas'!$B:$B,"&gt;="&amp;DATE(Configurações!$B$16,1,1),'Importar Reservas'!$B:$B,"&lt;"&amp;EDATE(DATE(Configurações!$B$16,1,1),1),'Importar Reservas'!$O:$O,"&gt;0")</f>
        <v/>
      </c>
      <c r="C6" s="133">
        <f>SUMIFS('Importar Reservas'!$N:$N,'Importar Reservas'!$B:$B,"&gt;="&amp;DATE(Configurações!$B$16,2,1),'Importar Reservas'!$B:$B,"&lt;"&amp;EDATE(DATE(Configurações!$B$16,2,1),1),'Importar Reservas'!$O:$O,"&gt;0")</f>
        <v/>
      </c>
      <c r="D6" s="133">
        <f>SUMIFS('Importar Reservas'!$N:$N,'Importar Reservas'!$B:$B,"&gt;="&amp;DATE(Configurações!$B$16,3,1),'Importar Reservas'!$B:$B,"&lt;"&amp;EDATE(DATE(Configurações!$B$16,3,1),1),'Importar Reservas'!$O:$O,"&gt;0")</f>
        <v/>
      </c>
      <c r="E6" s="134">
        <f>SUMIFS('Importar Reservas'!$N:$N,'Importar Reservas'!$B:$B,"&gt;="&amp;DATE(Configurações!$B$16,4,1),'Importar Reservas'!$B:$B,"&lt;"&amp;EDATE(DATE(Configurações!$B$16,4,1),1),'Importar Reservas'!$O:$O,"&gt;0")</f>
        <v/>
      </c>
      <c r="F6" s="135">
        <f>SUMIFS('Importar Reservas'!$N:$N,'Importar Reservas'!$B:$B,"&gt;="&amp;DATE(Configurações!$B$16,5,1),'Importar Reservas'!$B:$B,"&lt;"&amp;EDATE(DATE(Configurações!$B$16,5,1),1),'Importar Reservas'!$O:$O,"&gt;0")</f>
        <v/>
      </c>
      <c r="G6" s="135">
        <f>SUMIFS('Importar Reservas'!$N:$N,'Importar Reservas'!$B:$B,"&gt;="&amp;DATE(Configurações!$B$16,6,1),'Importar Reservas'!$B:$B,"&lt;"&amp;EDATE(DATE(Configurações!$B$16,6,1),1),'Importar Reservas'!$O:$O,"&gt;0")</f>
        <v/>
      </c>
      <c r="H6" s="135">
        <f>SUMIFS('Importar Reservas'!$N:$N,'Importar Reservas'!$B:$B,"&gt;="&amp;DATE(Configurações!$B$16,7,1),'Importar Reservas'!$B:$B,"&lt;"&amp;EDATE(DATE(Configurações!$B$16,7,1),1),'Importar Reservas'!$O:$O,"&gt;0")</f>
        <v/>
      </c>
      <c r="I6" s="135">
        <f>SUMIFS('Importar Reservas'!$N:$N,'Importar Reservas'!$B:$B,"&gt;="&amp;DATE(Configurações!$B$16,8,1),'Importar Reservas'!$B:$B,"&lt;"&amp;EDATE(DATE(Configurações!$B$16,8,1),1),'Importar Reservas'!$O:$O,"&gt;0")</f>
        <v/>
      </c>
      <c r="J6" s="135">
        <f>SUMIFS('Importar Reservas'!$N:$N,'Importar Reservas'!$B:$B,"&gt;="&amp;DATE(Configurações!$B$16,9,1),'Importar Reservas'!$B:$B,"&lt;"&amp;EDATE(DATE(Configurações!$B$16,9,1),1),'Importar Reservas'!$O:$O,"&gt;0")</f>
        <v/>
      </c>
      <c r="K6" s="135">
        <f>SUMIFS('Importar Reservas'!$N:$N,'Importar Reservas'!$B:$B,"&gt;="&amp;DATE(Configurações!$B$16,10,1),'Importar Reservas'!$B:$B,"&lt;"&amp;EDATE(DATE(Configurações!$B$16,10,1),1),'Importar Reservas'!$O:$O,"&gt;0")</f>
        <v/>
      </c>
      <c r="L6" s="135">
        <f>SUMIFS('Importar Reservas'!$N:$N,'Importar Reservas'!$B:$B,"&gt;="&amp;DATE(Configurações!$B$16,11,1),'Importar Reservas'!$B:$B,"&lt;"&amp;EDATE(DATE(Configurações!$B$16,11,1),1),'Importar Reservas'!$O:$O,"&gt;0")</f>
        <v/>
      </c>
      <c r="M6" s="135">
        <f>SUMIFS('Importar Reservas'!$N:$N,'Importar Reservas'!$B:$B,"&gt;="&amp;DATE(Configurações!$B$16,12,1),'Importar Reservas'!$B:$B,"&lt;"&amp;EDATE(DATE(Configurações!$B$16,12,1),1),'Importar Reservas'!$O:$O,"&gt;0")</f>
        <v/>
      </c>
      <c r="N6" s="135">
        <f>SUM(B6:M6)</f>
        <v/>
      </c>
    </row>
    <row r="7" ht="15" customHeight="1" s="79">
      <c r="A7" s="136" t="inlineStr">
        <is>
          <t>Margem bruta</t>
        </is>
      </c>
      <c r="B7" s="134">
        <f>B5-B6</f>
        <v/>
      </c>
      <c r="C7" s="134">
        <f>C5-C6</f>
        <v/>
      </c>
      <c r="D7" s="134">
        <f>D5-D6</f>
        <v/>
      </c>
      <c r="E7" s="137">
        <f>E5-E6</f>
        <v/>
      </c>
      <c r="F7" s="135">
        <f>F5-F6</f>
        <v/>
      </c>
      <c r="G7" s="135">
        <f>G5-G6</f>
        <v/>
      </c>
      <c r="H7" s="135">
        <f>H5-H6</f>
        <v/>
      </c>
      <c r="I7" s="135">
        <f>I5-I6</f>
        <v/>
      </c>
      <c r="J7" s="135">
        <f>J5-J6</f>
        <v/>
      </c>
      <c r="K7" s="135">
        <f>K5-K6</f>
        <v/>
      </c>
      <c r="L7" s="135">
        <f>L5-L6</f>
        <v/>
      </c>
      <c r="M7" s="135">
        <f>M5-M6</f>
        <v/>
      </c>
      <c r="N7" s="135">
        <f>SUM(B7:M7)</f>
        <v/>
      </c>
    </row>
    <row r="8" ht="15" customHeight="1" s="79">
      <c r="A8" s="91" t="inlineStr">
        <is>
          <t>Comissões</t>
        </is>
      </c>
      <c r="B8" s="133">
        <f>SUMIFS(Comissões!$H:$H,Comissões!$B:$B,"&gt;="&amp;DATE(Configurações!$B$16,1,1),Comissões!$B:$B,"&lt;"&amp;EDATE(DATE(Configurações!$B$16,1,1),1))</f>
        <v/>
      </c>
      <c r="C8" s="133">
        <f>SUMIFS(Comissões!$H:$H,Comissões!$B:$B,"&gt;="&amp;DATE(Configurações!$B$16,2,1),Comissões!$B:$B,"&lt;"&amp;EDATE(DATE(Configurações!$B$16,2,1),1))</f>
        <v/>
      </c>
      <c r="D8" s="133">
        <f>SUMIFS(Comissões!$H:$H,Comissões!$B:$B,"&gt;="&amp;DATE(Configurações!$B$16,3,1),Comissões!$B:$B,"&lt;"&amp;EDATE(DATE(Configurações!$B$16,3,1),1))</f>
        <v/>
      </c>
      <c r="E8" s="134">
        <f>SUMIFS(Comissões!$H:$H,Comissões!$B:$B,"&gt;="&amp;DATE(Configurações!$B$16,4,1),Comissões!$B:$B,"&lt;"&amp;EDATE(DATE(Configurações!$B$16,4,1),1))</f>
        <v/>
      </c>
      <c r="F8" s="135">
        <f>SUMIFS(Comissões!$H:$H,Comissões!$B:$B,"&gt;="&amp;DATE(Configurações!$B$16,5,1),Comissões!$B:$B,"&lt;"&amp;EDATE(DATE(Configurações!$B$16,5,1),1))</f>
        <v/>
      </c>
      <c r="G8" s="135">
        <f>SUMIFS(Comissões!$H:$H,Comissões!$B:$B,"&gt;="&amp;DATE(Configurações!$B$16,6,1),Comissões!$B:$B,"&lt;"&amp;EDATE(DATE(Configurações!$B$16,6,1),1))</f>
        <v/>
      </c>
      <c r="H8" s="135">
        <f>SUMIFS(Comissões!$H:$H,Comissões!$B:$B,"&gt;="&amp;DATE(Configurações!$B$16,7,1),Comissões!$B:$B,"&lt;"&amp;EDATE(DATE(Configurações!$B$16,7,1),1))</f>
        <v/>
      </c>
      <c r="I8" s="135">
        <f>SUMIFS(Comissões!$H:$H,Comissões!$B:$B,"&gt;="&amp;DATE(Configurações!$B$16,8,1),Comissões!$B:$B,"&lt;"&amp;EDATE(DATE(Configurações!$B$16,8,1),1))</f>
        <v/>
      </c>
      <c r="J8" s="135">
        <f>SUMIFS(Comissões!$H:$H,Comissões!$B:$B,"&gt;="&amp;DATE(Configurações!$B$16,9,1),Comissões!$B:$B,"&lt;"&amp;EDATE(DATE(Configurações!$B$16,9,1),1))</f>
        <v/>
      </c>
      <c r="K8" s="135">
        <f>SUMIFS(Comissões!$H:$H,Comissões!$B:$B,"&gt;="&amp;DATE(Configurações!$B$16,10,1),Comissões!$B:$B,"&lt;"&amp;EDATE(DATE(Configurações!$B$16,10,1),1))</f>
        <v/>
      </c>
      <c r="L8" s="135">
        <f>SUMIFS(Comissões!$H:$H,Comissões!$B:$B,"&gt;="&amp;DATE(Configurações!$B$16,11,1),Comissões!$B:$B,"&lt;"&amp;EDATE(DATE(Configurações!$B$16,11,1),1))</f>
        <v/>
      </c>
      <c r="M8" s="135">
        <f>SUMIFS(Comissões!$H:$H,Comissões!$B:$B,"&gt;="&amp;DATE(Configurações!$B$16,12,1),Comissões!$B:$B,"&lt;"&amp;EDATE(DATE(Configurações!$B$16,12,1),1))</f>
        <v/>
      </c>
      <c r="N8" s="135">
        <f>SUM(B8:M8)</f>
        <v/>
      </c>
    </row>
    <row r="9" ht="15" customHeight="1" s="79">
      <c r="A9" s="91" t="inlineStr">
        <is>
          <t>Custos fixos (mensais)</t>
        </is>
      </c>
      <c r="B9" s="133">
        <f>SUMPRODUCT(('Custos Fixos'!$E$3:$E$100&lt;EDATE(DATE(Configurações!$B$16,1,1),1))*(('Custos Fixos'!$F$3:$F$100="")+('Custos Fixos'!$F$3:$F$100&gt;=DATE(Configurações!$B$16,1,1)))*'Custos Fixos'!$G$3:$G$100)</f>
        <v/>
      </c>
      <c r="C9" s="133">
        <f>SUMPRODUCT(('Custos Fixos'!$E$3:$E$100&lt;EDATE(DATE(Configurações!$B$16,2,1),1))*(('Custos Fixos'!$F$3:$F$100="")+('Custos Fixos'!$F$3:$F$100&gt;=DATE(Configurações!$B$16,2,1)))*'Custos Fixos'!$G$3:$G$100)</f>
        <v/>
      </c>
      <c r="D9" s="133">
        <f>SUMPRODUCT(('Custos Fixos'!$E$3:$E$100&lt;EDATE(DATE(Configurações!$B$16,3,1),1))*(('Custos Fixos'!$F$3:$F$100="")+('Custos Fixos'!$F$3:$F$100&gt;=DATE(Configurações!$B$16,3,1)))*'Custos Fixos'!$G$3:$G$100)</f>
        <v/>
      </c>
      <c r="E9" s="134">
        <f>SUMPRODUCT(('Custos Fixos'!$E$3:$E$100&lt;EDATE(DATE(Configurações!$B$16,4,1),1))*(('Custos Fixos'!$F$3:$F$100="")+('Custos Fixos'!$F$3:$F$100&gt;=DATE(Configurações!$B$16,4,1)))*'Custos Fixos'!$G$3:$G$100)</f>
        <v/>
      </c>
      <c r="F9" s="135">
        <f>SUMPRODUCT(('Custos Fixos'!$E$3:$E$100&lt;EDATE(DATE(Configurações!$B$16,5,1),1))*(('Custos Fixos'!$F$3:$F$100="")+('Custos Fixos'!$F$3:$F$100&gt;=DATE(Configurações!$B$16,5,1)))*'Custos Fixos'!$G$3:$G$100)</f>
        <v/>
      </c>
      <c r="G9" s="135">
        <f>SUMPRODUCT(('Custos Fixos'!$E$3:$E$100&lt;EDATE(DATE(Configurações!$B$16,6,1),1))*(('Custos Fixos'!$F$3:$F$100="")+('Custos Fixos'!$F$3:$F$100&gt;=DATE(Configurações!$B$16,6,1)))*'Custos Fixos'!$G$3:$G$100)</f>
        <v/>
      </c>
      <c r="H9" s="135">
        <f>SUMPRODUCT(('Custos Fixos'!$E$3:$E$100&lt;EDATE(DATE(Configurações!$B$16,7,1),1))*(('Custos Fixos'!$F$3:$F$100="")+('Custos Fixos'!$F$3:$F$100&gt;=DATE(Configurações!$B$16,7,1)))*'Custos Fixos'!$G$3:$G$100)</f>
        <v/>
      </c>
      <c r="I9" s="135">
        <f>SUMPRODUCT(('Custos Fixos'!$E$3:$E$100&lt;EDATE(DATE(Configurações!$B$16,8,1),1))*(('Custos Fixos'!$F$3:$F$100="")+('Custos Fixos'!$F$3:$F$100&gt;=DATE(Configurações!$B$16,8,1)))*'Custos Fixos'!$G$3:$G$100)</f>
        <v/>
      </c>
      <c r="J9" s="135">
        <f>SUMPRODUCT(('Custos Fixos'!$E$3:$E$100&lt;EDATE(DATE(Configurações!$B$16,9,1),1))*(('Custos Fixos'!$F$3:$F$100="")+('Custos Fixos'!$F$3:$F$100&gt;=DATE(Configurações!$B$16,9,1)))*'Custos Fixos'!$G$3:$G$100)</f>
        <v/>
      </c>
      <c r="K9" s="135">
        <f>SUMPRODUCT(('Custos Fixos'!$E$3:$E$100&lt;EDATE(DATE(Configurações!$B$16,10,1),1))*(('Custos Fixos'!$F$3:$F$100="")+('Custos Fixos'!$F$3:$F$100&gt;=DATE(Configurações!$B$16,10,1)))*'Custos Fixos'!$G$3:$G$100)</f>
        <v/>
      </c>
      <c r="L9" s="135">
        <f>SUMPRODUCT(('Custos Fixos'!$E$3:$E$100&lt;EDATE(DATE(Configurações!$B$16,11,1),1))*(('Custos Fixos'!$F$3:$F$100="")+('Custos Fixos'!$F$3:$F$100&gt;=DATE(Configurações!$B$16,11,1)))*'Custos Fixos'!$G$3:$G$100)</f>
        <v/>
      </c>
      <c r="M9" s="135">
        <f>SUMPRODUCT(('Custos Fixos'!$E$3:$E$100&lt;EDATE(DATE(Configurações!$B$16,12,1),1))*(('Custos Fixos'!$F$3:$F$100="")+('Custos Fixos'!$F$3:$F$100&gt;=DATE(Configurações!$B$16,12,1)))*'Custos Fixos'!$G$3:$G$100)</f>
        <v/>
      </c>
      <c r="N9" s="135">
        <f>SUM(B9:M9)</f>
        <v/>
      </c>
    </row>
    <row r="10" ht="15" customHeight="1" s="79">
      <c r="A10" s="91" t="inlineStr">
        <is>
          <t>Gastos adicionais</t>
        </is>
      </c>
      <c r="B10" s="133">
        <f>SUMIFS('Gastos Adicionais'!$D:$D,'Gastos Adicionais'!$A:$A,"&gt;="&amp;DATE(Configurações!$B$16,1,1),'Gastos Adicionais'!$A:$A,"&lt;"&amp;EDATE(DATE(Configurações!$B$16,1,1),1))</f>
        <v/>
      </c>
      <c r="C10" s="133">
        <f>SUMIFS('Gastos Adicionais'!$D:$D,'Gastos Adicionais'!$A:$A,"&gt;="&amp;DATE(Configurações!$B$16,2,1),'Gastos Adicionais'!$A:$A,"&lt;"&amp;EDATE(DATE(Configurações!$B$16,2,1),1))</f>
        <v/>
      </c>
      <c r="D10" s="133">
        <f>SUMIFS('Gastos Adicionais'!$D:$D,'Gastos Adicionais'!$A:$A,"&gt;="&amp;DATE(Configurações!$B$16,3,1),'Gastos Adicionais'!$A:$A,"&lt;"&amp;EDATE(DATE(Configurações!$B$16,3,1),1))</f>
        <v/>
      </c>
      <c r="E10" s="134">
        <f>SUMIFS('Gastos Adicionais'!$D:$D,'Gastos Adicionais'!$A:$A,"&gt;="&amp;DATE(Configurações!$B$16,4,1),'Gastos Adicionais'!$A:$A,"&lt;"&amp;EDATE(DATE(Configurações!$B$16,4,1),1))</f>
        <v/>
      </c>
      <c r="F10" s="135">
        <f>SUMIFS('Gastos Adicionais'!$D:$D,'Gastos Adicionais'!$A:$A,"&gt;="&amp;DATE(Configurações!$B$16,5,1),'Gastos Adicionais'!$A:$A,"&lt;"&amp;EDATE(DATE(Configurações!$B$16,5,1),1))</f>
        <v/>
      </c>
      <c r="G10" s="135">
        <f>SUMIFS('Gastos Adicionais'!$D:$D,'Gastos Adicionais'!$A:$A,"&gt;="&amp;DATE(Configurações!$B$16,6,1),'Gastos Adicionais'!$A:$A,"&lt;"&amp;EDATE(DATE(Configurações!$B$16,6,1),1))</f>
        <v/>
      </c>
      <c r="H10" s="135">
        <f>SUMIFS('Gastos Adicionais'!$D:$D,'Gastos Adicionais'!$A:$A,"&gt;="&amp;DATE(Configurações!$B$16,7,1),'Gastos Adicionais'!$A:$A,"&lt;"&amp;EDATE(DATE(Configurações!$B$16,7,1),1))</f>
        <v/>
      </c>
      <c r="I10" s="135">
        <f>SUMIFS('Gastos Adicionais'!$D:$D,'Gastos Adicionais'!$A:$A,"&gt;="&amp;DATE(Configurações!$B$16,8,1),'Gastos Adicionais'!$A:$A,"&lt;"&amp;EDATE(DATE(Configurações!$B$16,8,1),1))</f>
        <v/>
      </c>
      <c r="J10" s="135">
        <f>SUMIFS('Gastos Adicionais'!$D:$D,'Gastos Adicionais'!$A:$A,"&gt;="&amp;DATE(Configurações!$B$16,9,1),'Gastos Adicionais'!$A:$A,"&lt;"&amp;EDATE(DATE(Configurações!$B$16,9,1),1))</f>
        <v/>
      </c>
      <c r="K10" s="135">
        <f>SUMIFS('Gastos Adicionais'!$D:$D,'Gastos Adicionais'!$A:$A,"&gt;="&amp;DATE(Configurações!$B$16,10,1),'Gastos Adicionais'!$A:$A,"&lt;"&amp;EDATE(DATE(Configurações!$B$16,10,1),1))</f>
        <v/>
      </c>
      <c r="L10" s="135">
        <f>SUMIFS('Gastos Adicionais'!$D:$D,'Gastos Adicionais'!$A:$A,"&gt;="&amp;DATE(Configurações!$B$16,11,1),'Gastos Adicionais'!$A:$A,"&lt;"&amp;EDATE(DATE(Configurações!$B$16,11,1),1))</f>
        <v/>
      </c>
      <c r="M10" s="135">
        <f>SUMIFS('Gastos Adicionais'!$D:$D,'Gastos Adicionais'!$A:$A,"&gt;="&amp;DATE(Configurações!$B$16,12,1),'Gastos Adicionais'!$A:$A,"&lt;"&amp;EDATE(DATE(Configurações!$B$16,12,1),1))</f>
        <v/>
      </c>
      <c r="N10" s="135">
        <f>SUM(B10:M10)</f>
        <v/>
      </c>
    </row>
    <row r="11" ht="15" customHeight="1" s="79">
      <c r="A11" s="136" t="inlineStr">
        <is>
          <t>Lucro líquido</t>
        </is>
      </c>
      <c r="B11" s="138">
        <f>B7-B8-B9-B10</f>
        <v/>
      </c>
      <c r="C11" s="138">
        <f>C7-C8-C9-C10</f>
        <v/>
      </c>
      <c r="D11" s="138">
        <f>D7-D8-D9-D10</f>
        <v/>
      </c>
      <c r="E11" s="138">
        <f>E7-E8-E9-E10</f>
        <v/>
      </c>
      <c r="F11" s="135">
        <f>F7-F8-F9-F10</f>
        <v/>
      </c>
      <c r="G11" s="135">
        <f>G7-G8-G9-G10</f>
        <v/>
      </c>
      <c r="H11" s="135">
        <f>H7-H8-H9-H10</f>
        <v/>
      </c>
      <c r="I11" s="135">
        <f>I7-I8-I9-I10</f>
        <v/>
      </c>
      <c r="J11" s="135">
        <f>J7-J8-J9-J10</f>
        <v/>
      </c>
      <c r="K11" s="135">
        <f>K7-K8-K9-K10</f>
        <v/>
      </c>
      <c r="L11" s="135">
        <f>L7-L8-L9-L10</f>
        <v/>
      </c>
      <c r="M11" s="135">
        <f>M7-M8-M9-M10</f>
        <v/>
      </c>
      <c r="N11" s="135">
        <f>SUM(B11:M11)</f>
        <v/>
      </c>
    </row>
  </sheetData>
  <mergeCells count="2">
    <mergeCell ref="A2:N2"/>
    <mergeCell ref="A1:N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2556F"/>
    <outlinePr summaryBelow="1" summaryRight="1"/>
    <pageSetUpPr fitToPage="0"/>
  </sheetPr>
  <dimension ref="B2:P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8" min="1" max="1"/>
    <col width="15" customWidth="1" style="78" min="2" max="3"/>
    <col width="3" customWidth="1" style="78" min="4" max="4"/>
    <col width="15" customWidth="1" style="78" min="5" max="6"/>
    <col width="3" customWidth="1" style="78" min="7" max="7"/>
    <col width="15" customWidth="1" style="78" min="8" max="9"/>
  </cols>
  <sheetData>
    <row r="2" ht="22.05" customHeight="1" s="79">
      <c r="B2" s="139" t="inlineStr">
        <is>
          <t>📊 Dashboard financeiro</t>
        </is>
      </c>
    </row>
    <row r="3" ht="15" customHeight="1" s="79">
      <c r="B3" s="140" t="inlineStr">
        <is>
          <t>Let's Go · confidencial · caixa exige registo das saídas efetivamente pagas</t>
        </is>
      </c>
    </row>
    <row r="5" ht="15" customHeight="1" s="79">
      <c r="B5" s="141" t="inlineStr">
        <is>
          <t>Faturação total</t>
        </is>
      </c>
      <c r="E5" s="141" t="inlineStr">
        <is>
          <t>Margem bruta</t>
        </is>
      </c>
      <c r="H5" s="142" t="inlineStr">
        <is>
          <t>Lucro previsto (faturado)</t>
        </is>
      </c>
    </row>
    <row r="6" ht="22.5" customHeight="1" s="79">
      <c r="B6" s="143">
        <f>'Rendimentos e Lucros'!$N$5</f>
        <v/>
      </c>
      <c r="E6" s="143">
        <f>'Rendimentos e Lucros'!$N$7</f>
        <v/>
      </c>
      <c r="H6" s="144">
        <f>'Rendimentos e Lucros'!$N$11</f>
        <v/>
      </c>
    </row>
    <row r="8" ht="15" customHeight="1" s="79">
      <c r="B8" s="142" t="inlineStr">
        <is>
          <t>Resultado de caixa registado</t>
        </is>
      </c>
      <c r="E8" s="142" t="inlineStr">
        <is>
          <t>A receber</t>
        </is>
      </c>
      <c r="H8" s="141" t="inlineStr">
        <is>
          <t>Já recebido</t>
        </is>
      </c>
    </row>
    <row r="9" ht="22.5" customHeight="1" s="79">
      <c r="B9" s="144">
        <f>Configurações!$B$18+SUM('Importar Registos'!$C:$C)-SUM('Saídas de Caixa'!$E:$E)</f>
        <v/>
      </c>
      <c r="E9" s="144">
        <f>SUMIFS('Importar Reservas'!$W:$W,'Importar Reservas'!$W:$W,"&gt;0")</f>
        <v/>
      </c>
      <c r="H9" s="143">
        <f>SUM('Importar Registos'!$C:$C)</f>
        <v/>
      </c>
    </row>
    <row r="11" ht="15" customHeight="1" s="79">
      <c r="B11" s="141" t="inlineStr">
        <is>
          <t>Comissões a pagar</t>
        </is>
      </c>
      <c r="E11" s="141" t="inlineStr">
        <is>
          <t>Custos fixos (mês)</t>
        </is>
      </c>
      <c r="H11" s="142" t="inlineStr">
        <is>
          <t>Gastos adicionais</t>
        </is>
      </c>
    </row>
    <row r="12" ht="22.5" customHeight="1" s="79">
      <c r="B12" s="143">
        <f>SUM(Comissões!$H:$H)</f>
        <v/>
      </c>
      <c r="E12" s="143">
        <f>'Custos Fixos'!$G$10</f>
        <v/>
      </c>
      <c r="H12" s="144">
        <f>SUM('Gastos Adicionais'!$D:$D)</f>
        <v/>
      </c>
    </row>
    <row r="14" ht="15" customHeight="1" s="79">
      <c r="B14" s="141" t="inlineStr">
        <is>
          <t>Saldo de caixa</t>
        </is>
      </c>
      <c r="E14" s="141" t="inlineStr">
        <is>
          <t>Nº de reservas</t>
        </is>
      </c>
      <c r="H14" s="141" t="inlineStr">
        <is>
          <t>Nº de clientes</t>
        </is>
      </c>
    </row>
    <row r="15" ht="22.5" customHeight="1" s="79">
      <c r="B15" s="143">
        <f>Configurações!$B$18+SUM('Importar Registos'!$C:$C)-SUM('Saídas de Caixa'!$E:$E)</f>
        <v/>
      </c>
      <c r="E15" s="145">
        <f>COUNTA('Importar Reservas'!$A$3:$A$2000)</f>
        <v/>
      </c>
      <c r="H15" s="145">
        <f>COUNTUNIQUE(FILTER('Importar Reservas'!$D$3:$D$2000,'Importar Reservas'!$D$3:$D$2000&lt;&gt;""))</f>
        <v/>
      </c>
    </row>
    <row r="17" ht="15" customHeight="1" s="79">
      <c r="B17" s="141" t="inlineStr">
        <is>
          <t>Ticket médio / cliente</t>
        </is>
      </c>
      <c r="E17" s="141" t="inlineStr">
        <is>
          <t>Ticket médio / reserva</t>
        </is>
      </c>
      <c r="H17" s="141" t="inlineStr">
        <is>
          <t>Receita do último mês</t>
        </is>
      </c>
    </row>
    <row r="18" ht="22.5" customHeight="1" s="79">
      <c r="B18" s="146">
        <f>IFERROR('Rendimentos e Lucros'!$N$5/H15,0)</f>
        <v/>
      </c>
      <c r="E18" s="146">
        <f>IFERROR('Rendimentos e Lucros'!$N$5/E15,0)</f>
        <v/>
      </c>
      <c r="H18" s="143">
        <f>SUMIFS('Importar Reservas'!$O:$O,'Importar Reservas'!$B:$B,"&gt;="&amp;EOMONTH(TODAY(),-1)+1,'Importar Reservas'!$B:$B,"&lt;="&amp;EOMONTH(TODAY(),0))</f>
        <v/>
      </c>
    </row>
    <row r="20" ht="15" customHeight="1" s="79">
      <c r="B20" s="142" t="inlineStr">
        <is>
          <t>Variação vs mês anterior</t>
        </is>
      </c>
    </row>
    <row r="21" ht="22.5" customHeight="1" s="79">
      <c r="B21" s="147">
        <f>IFERROR((SUMIFS('Importar Reservas'!$O:$O,'Importar Reservas'!$B:$B,"&gt;="&amp;EOMONTH(TODAY(),-1)+1,'Importar Reservas'!$B:$B,"&lt;="&amp;EOMONTH(TODAY(),0))-SUMIFS('Importar Reservas'!$O:$O,'Importar Reservas'!$B:$B,"&gt;="&amp;EOMONTH(TODAY(),-2)+1,'Importar Reservas'!$B:$B,"&lt;="&amp;EOMONTH(TODAY(),-1)))/SUMIFS('Importar Reservas'!$O:$O,'Importar Reservas'!$B:$B,"&gt;="&amp;EOMONTH(TODAY(),-2)+1,'Importar Reservas'!$B:$B,"&lt;="&amp;EOMONTH(TODAY(),-1)),0)</f>
        <v/>
      </c>
    </row>
    <row r="24" ht="15" customHeight="1" s="79">
      <c r="B24" s="148" t="inlineStr">
        <is>
          <t>Destaques</t>
        </is>
      </c>
    </row>
    <row r="25" ht="15" customHeight="1" s="79">
      <c r="B25" s="149" t="inlineStr">
        <is>
          <t>Pacote mais vendido</t>
        </is>
      </c>
      <c r="D25" s="150">
        <f>IFERROR(INDEX($L$40:$L$44,MATCH(MAX($M$40:$M$44),$M$40:$M$44,0)),"")</f>
        <v/>
      </c>
      <c r="E25" s="151" t="n"/>
      <c r="F25" s="151" t="n"/>
    </row>
    <row r="26" ht="15" customHeight="1" s="79">
      <c r="B26" s="149" t="inlineStr">
        <is>
          <t>Destino mais vendido</t>
        </is>
      </c>
      <c r="D26" s="150">
        <f>IFERROR(INDEX($O$40:$O$44,MATCH(MAX($P$40:$P$44),$P$40:$P$44,0)),"")</f>
        <v/>
      </c>
      <c r="E26" s="151" t="n"/>
      <c r="F26" s="151" t="n"/>
    </row>
    <row r="40" ht="15" customHeight="1" s="79">
      <c r="L40" s="78" t="inlineStr">
        <is>
          <t>Réveillon Madeira 2026</t>
        </is>
      </c>
      <c r="M40" s="78">
        <f>COUNTIF('Importar Reservas'!$F$3:$F$42,$L40)</f>
        <v/>
      </c>
      <c r="O40" s="78" t="inlineStr">
        <is>
          <t>Funchal, Madeira</t>
        </is>
      </c>
      <c r="P40" s="78">
        <f>COUNTIF('Importar Reservas'!$H$3:$H$42,$O40)</f>
        <v/>
      </c>
    </row>
    <row r="41" ht="15" customHeight="1" s="79">
      <c r="L41" s="78" t="inlineStr">
        <is>
          <t>Peregrinação a Fátima</t>
        </is>
      </c>
      <c r="M41" s="78">
        <f>COUNTIF('Importar Reservas'!$F$3:$F$42,$L41)</f>
        <v/>
      </c>
      <c r="O41" s="78" t="inlineStr">
        <is>
          <t>Fátima</t>
        </is>
      </c>
      <c r="P41" s="78">
        <f>COUNTIF('Importar Reservas'!$H$3:$H$42,$O41)</f>
        <v/>
      </c>
    </row>
    <row r="42" ht="15" customHeight="1" s="79">
      <c r="L42" s="78" t="inlineStr">
        <is>
          <t>Lua de Mel Maldivas</t>
        </is>
      </c>
      <c r="M42" s="78">
        <f>COUNTIF('Importar Reservas'!$F$3:$F$42,$L42)</f>
        <v/>
      </c>
      <c r="O42" s="78" t="inlineStr">
        <is>
          <t>Maldivas</t>
        </is>
      </c>
      <c r="P42" s="78">
        <f>COUNTIF('Importar Reservas'!$H$3:$H$42,$O42)</f>
        <v/>
      </c>
    </row>
    <row r="43" ht="15" customHeight="1" s="79">
      <c r="L43" s="78" t="inlineStr">
        <is>
          <t>City Break Roma</t>
        </is>
      </c>
      <c r="M43" s="78">
        <f>COUNTIF('Importar Reservas'!$F$3:$F$42,$L43)</f>
        <v/>
      </c>
      <c r="O43" s="78" t="inlineStr">
        <is>
          <t>Roma, Itália</t>
        </is>
      </c>
      <c r="P43" s="78">
        <f>COUNTIF('Importar Reservas'!$H$3:$H$42,$O43)</f>
        <v/>
      </c>
    </row>
    <row r="44" ht="15" customHeight="1" s="79">
      <c r="L44" s="78" t="inlineStr">
        <is>
          <t>Safari Tanzânia</t>
        </is>
      </c>
      <c r="M44" s="78">
        <f>COUNTIF('Importar Reservas'!$F$3:$F$42,$L44)</f>
        <v/>
      </c>
      <c r="O44" s="78" t="inlineStr">
        <is>
          <t>Tanzânia</t>
        </is>
      </c>
      <c r="P44" s="78">
        <f>COUNTIF('Importar Reservas'!$H$3:$H$42,$O44)</f>
        <v/>
      </c>
    </row>
    <row r="46" ht="15" customHeight="1" s="79">
      <c r="L46" s="78" t="inlineStr">
        <is>
          <t>Receita</t>
        </is>
      </c>
      <c r="M46" s="152">
        <f>'Rendimentos e Lucros'!$N$5</f>
        <v/>
      </c>
    </row>
    <row r="47" ht="15" customHeight="1" s="79">
      <c r="L47" s="78" t="inlineStr">
        <is>
          <t>Custo</t>
        </is>
      </c>
      <c r="M47" s="152">
        <f>'Rendimentos e Lucros'!$N$6</f>
        <v/>
      </c>
    </row>
    <row r="48" ht="15" customHeight="1" s="79">
      <c r="L48" s="78" t="inlineStr">
        <is>
          <t>Margem</t>
        </is>
      </c>
      <c r="M48" s="152">
        <f>'Rendimentos e Lucros'!$N$7</f>
        <v/>
      </c>
    </row>
    <row r="49" ht="15" customHeight="1" s="79">
      <c r="L49" s="78" t="inlineStr">
        <is>
          <t>Lucro</t>
        </is>
      </c>
      <c r="M49" s="152">
        <f>'Rendimentos e Lucros'!$N$11</f>
        <v/>
      </c>
    </row>
    <row r="52" ht="15" customHeight="1" s="79">
      <c r="L52" s="78" t="inlineStr">
        <is>
          <t>Instalações</t>
        </is>
      </c>
      <c r="M52" s="152">
        <f>SUMIF('Custos Fixos'!$B:$B,$L52,'Custos Fixos'!$G:$G)</f>
        <v/>
      </c>
    </row>
    <row r="53" ht="15" customHeight="1" s="79">
      <c r="L53" s="78" t="inlineStr">
        <is>
          <t>Salários</t>
        </is>
      </c>
      <c r="M53" s="152">
        <f>SUMIF('Custos Fixos'!$B:$B,$L53,'Custos Fixos'!$G:$G)</f>
        <v/>
      </c>
    </row>
    <row r="54" ht="15" customHeight="1" s="79">
      <c r="L54" s="78" t="inlineStr">
        <is>
          <t>Software</t>
        </is>
      </c>
      <c r="M54" s="152">
        <f>SUMIF('Custos Fixos'!$B:$B,$L54,'Custos Fixos'!$G:$G)</f>
        <v/>
      </c>
    </row>
    <row r="55" ht="15" customHeight="1" s="79">
      <c r="L55" s="78" t="inlineStr">
        <is>
          <t>Serviços</t>
        </is>
      </c>
      <c r="M55" s="152">
        <f>SUMIF('Custos Fixos'!$B:$B,$L55,'Custos Fixos'!$G:$G)</f>
        <v/>
      </c>
    </row>
  </sheetData>
  <mergeCells count="34">
    <mergeCell ref="E12:F12"/>
    <mergeCell ref="E5:F5"/>
    <mergeCell ref="E14:F14"/>
    <mergeCell ref="B18:C18"/>
    <mergeCell ref="E17:F17"/>
    <mergeCell ref="E8:F8"/>
    <mergeCell ref="H9:I9"/>
    <mergeCell ref="B12:C12"/>
    <mergeCell ref="B21:C21"/>
    <mergeCell ref="H6:I6"/>
    <mergeCell ref="B11:C11"/>
    <mergeCell ref="B14:C14"/>
    <mergeCell ref="B17:C17"/>
    <mergeCell ref="D25:F25"/>
    <mergeCell ref="B8:C8"/>
    <mergeCell ref="E9:F9"/>
    <mergeCell ref="H17:I17"/>
    <mergeCell ref="H11:I11"/>
    <mergeCell ref="E6:F6"/>
    <mergeCell ref="E15:F15"/>
    <mergeCell ref="E11:F11"/>
    <mergeCell ref="D26:F26"/>
    <mergeCell ref="B9:C9"/>
    <mergeCell ref="B6:C6"/>
    <mergeCell ref="H12:I12"/>
    <mergeCell ref="H8:I8"/>
    <mergeCell ref="B15:C15"/>
    <mergeCell ref="B5:C5"/>
    <mergeCell ref="B20:C20"/>
    <mergeCell ref="H15:I15"/>
    <mergeCell ref="H18:I18"/>
    <mergeCell ref="H5:I5"/>
    <mergeCell ref="H14:I14"/>
    <mergeCell ref="E18:F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78" min="1" max="5"/>
  </cols>
  <sheetData>
    <row r="1" ht="15" customHeight="1" s="79">
      <c r="A1" s="78" t="inlineStr">
        <is>
          <t>Importação dos pagamentos recebidos da planilha Operacional</t>
        </is>
      </c>
    </row>
    <row r="2" ht="15" customHeight="1" s="79">
      <c r="A2" s="78" t="inlineStr">
        <is>
          <t>ID Reserva</t>
        </is>
      </c>
      <c r="B2" s="78" t="inlineStr">
        <is>
          <t>Data</t>
        </is>
      </c>
      <c r="C2" s="78" t="inlineStr">
        <is>
          <t>Valor recebido (€)</t>
        </is>
      </c>
      <c r="D2" s="78" t="inlineStr">
        <is>
          <t>Método</t>
        </is>
      </c>
      <c r="E2" s="78" t="inlineStr">
        <is>
          <t>Observações</t>
        </is>
      </c>
    </row>
    <row r="3" ht="15" customHeight="1" s="79">
      <c r="A3" s="78">
        <f>IFERROR(importrange(Configurações!$B$17,"Registos!A2:E"),"")</f>
        <v/>
      </c>
    </row>
  </sheetData>
  <mergeCells count="1">
    <mergeCell ref="A1:E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78" min="1" max="2"/>
    <col width="35" customWidth="1" style="78" min="3" max="3"/>
    <col width="20" customWidth="1" style="78" min="4" max="6"/>
  </cols>
  <sheetData>
    <row r="1" ht="19.7" customHeight="1" s="79">
      <c r="A1" s="153" t="inlineStr">
        <is>
          <t>💸 Saídas de caixa efetivamente pagas</t>
        </is>
      </c>
    </row>
    <row r="2" ht="15" customHeight="1" s="79">
      <c r="A2" s="78" t="inlineStr">
        <is>
          <t>Registar aqui somente quando o dinheiro saiu: fornecedores, salários, renda, comissões e outros pagamentos.</t>
        </is>
      </c>
    </row>
    <row r="3" ht="15" customHeight="1" s="79">
      <c r="A3" s="97" t="inlineStr">
        <is>
          <t>Data</t>
        </is>
      </c>
      <c r="B3" s="97" t="inlineStr">
        <is>
          <t>Categoria</t>
        </is>
      </c>
      <c r="C3" s="97" t="inlineStr">
        <is>
          <t>Descrição</t>
        </is>
      </c>
      <c r="D3" s="97" t="inlineStr">
        <is>
          <t>ID Reserva (opcional)</t>
        </is>
      </c>
      <c r="E3" s="97" t="inlineStr">
        <is>
          <t>Valor pago (€)</t>
        </is>
      </c>
      <c r="F3" s="97" t="inlineStr">
        <is>
          <t>Método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2026-07-15T19:10:22Z</dcterms:created>
  <dcterms:modified xmlns:dcterms="http://purl.org/dc/terms/" xmlns:xsi="http://www.w3.org/2001/XMLSchema-instance" xsi:type="dcterms:W3CDTF">2026-07-15T19:10:22Z</dcterms:modified>
  <cp:revision>2</cp:revision>
</cp:coreProperties>
</file>